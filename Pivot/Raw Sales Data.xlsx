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F:\My Files\Pivot\Results\"/>
    </mc:Choice>
  </mc:AlternateContent>
  <bookViews>
    <workbookView xWindow="0" yWindow="0" windowWidth="0" windowHeight="0" activeTab="5"/>
  </bookViews>
  <sheets>
    <sheet name="Overall 2023 Performance Summar" sheetId="50" r:id="rId1"/>
    <sheet name="Regional Performance Leaderboar" sheetId="59" r:id="rId2"/>
    <sheet name="Customer Segment Profitability" sheetId="68" r:id="rId3"/>
    <sheet name="Product Category Performance" sheetId="93" r:id="rId4"/>
    <sheet name="Discount vs Profit Analysis" sheetId="97" r:id="rId5"/>
    <sheet name="Region × Category Matrix " sheetId="98" r:id="rId6"/>
    <sheet name="Raw Sales Data" sheetId="1" r:id="rId7"/>
  </sheets>
  <calcPr/>
  <pivotCaches>
    <pivotCache cacheId="0" r:id="rId8"/>
    <pivotCache cacheId="1" r:id="rId9"/>
  </pivotCaches>
</workbook>
</file>

<file path=xl/calcChain.xml><?xml version="1.0" encoding="utf-8"?>
<calcChain xmlns="http://schemas.openxmlformats.org/spreadsheetml/2006/main">
  <c i="1" l="1" r="M1002"/>
  <c r="M1001"/>
  <c r="M1000"/>
  <c r="M999"/>
  <c r="M998"/>
  <c r="M997"/>
  <c r="M996"/>
  <c r="M995"/>
  <c r="M994"/>
  <c r="M993"/>
  <c r="M992"/>
  <c r="M991"/>
  <c r="M990"/>
  <c r="M989"/>
  <c r="M988"/>
  <c r="M987"/>
  <c r="M986"/>
  <c r="M985"/>
  <c r="M984"/>
  <c r="M983"/>
  <c r="M982"/>
  <c r="M981"/>
  <c r="M980"/>
  <c r="M979"/>
  <c r="M978"/>
  <c r="M977"/>
  <c r="M976"/>
  <c r="M975"/>
  <c r="M974"/>
  <c r="M973"/>
  <c r="M972"/>
  <c r="M971"/>
  <c r="M970"/>
  <c r="M969"/>
  <c r="M968"/>
  <c r="M967"/>
  <c r="M966"/>
  <c r="M965"/>
  <c r="M964"/>
  <c r="M963"/>
  <c r="M962"/>
  <c r="M961"/>
  <c r="M960"/>
  <c r="M959"/>
  <c r="M958"/>
  <c r="M957"/>
  <c r="M956"/>
  <c r="M955"/>
  <c r="M954"/>
  <c r="M953"/>
  <c r="M952"/>
  <c r="M951"/>
  <c r="M950"/>
  <c r="M949"/>
  <c r="M948"/>
  <c r="M947"/>
  <c r="M946"/>
  <c r="M945"/>
  <c r="M944"/>
  <c r="M943"/>
  <c r="M942"/>
  <c r="M941"/>
  <c r="M940"/>
  <c r="M939"/>
  <c r="M938"/>
  <c r="M937"/>
  <c r="M936"/>
  <c r="M935"/>
  <c r="M934"/>
  <c r="M933"/>
  <c r="M932"/>
  <c r="M931"/>
  <c r="M930"/>
  <c r="M929"/>
  <c r="M928"/>
  <c r="M927"/>
  <c r="M926"/>
  <c r="M925"/>
  <c r="M924"/>
  <c r="M923"/>
  <c r="M922"/>
  <c r="M921"/>
  <c r="M920"/>
  <c r="M919"/>
  <c r="M918"/>
  <c r="M917"/>
  <c r="M916"/>
  <c r="M915"/>
  <c r="M914"/>
  <c r="M913"/>
  <c r="M912"/>
  <c r="M911"/>
  <c r="M910"/>
  <c r="M909"/>
  <c r="M908"/>
  <c r="M907"/>
  <c r="M906"/>
  <c r="M905"/>
  <c r="M904"/>
  <c r="M903"/>
  <c r="M902"/>
  <c r="M901"/>
  <c r="M900"/>
  <c r="M899"/>
  <c r="M898"/>
  <c r="M897"/>
  <c r="M896"/>
  <c r="M895"/>
  <c r="M894"/>
  <c r="M893"/>
  <c r="M892"/>
  <c r="M891"/>
  <c r="M890"/>
  <c r="M889"/>
  <c r="M888"/>
  <c r="M887"/>
  <c r="M886"/>
  <c r="M885"/>
  <c r="M884"/>
  <c r="M883"/>
  <c r="M882"/>
  <c r="M881"/>
  <c r="M880"/>
  <c r="M879"/>
  <c r="M878"/>
  <c r="M877"/>
  <c r="M876"/>
  <c r="M875"/>
  <c r="M874"/>
  <c r="M873"/>
  <c r="M872"/>
  <c r="M871"/>
  <c r="M870"/>
  <c r="M869"/>
  <c r="M868"/>
  <c r="M867"/>
  <c r="M866"/>
  <c r="M865"/>
  <c r="M864"/>
  <c r="M863"/>
  <c r="M862"/>
  <c r="M861"/>
  <c r="M860"/>
  <c r="M859"/>
  <c r="M858"/>
  <c r="M857"/>
  <c r="M856"/>
  <c r="M855"/>
  <c r="M854"/>
  <c r="M853"/>
  <c r="M852"/>
  <c r="M851"/>
  <c r="M850"/>
  <c r="M849"/>
  <c r="M848"/>
  <c r="M847"/>
  <c r="M846"/>
  <c r="M845"/>
  <c r="M844"/>
  <c r="M843"/>
  <c r="M842"/>
  <c r="M841"/>
  <c r="M840"/>
  <c r="M839"/>
  <c r="M838"/>
  <c r="M837"/>
  <c r="M836"/>
  <c r="M835"/>
  <c r="M834"/>
  <c r="M833"/>
  <c r="M832"/>
  <c r="M831"/>
  <c r="M830"/>
  <c r="M829"/>
  <c r="M828"/>
  <c r="M827"/>
  <c r="M826"/>
  <c r="M825"/>
  <c r="M824"/>
  <c r="M823"/>
  <c r="M822"/>
  <c r="M821"/>
  <c r="M820"/>
  <c r="M819"/>
  <c r="M818"/>
  <c r="M817"/>
  <c r="M816"/>
  <c r="M815"/>
  <c r="M814"/>
  <c r="M813"/>
  <c r="M812"/>
  <c r="M811"/>
  <c r="M810"/>
  <c r="M809"/>
  <c r="M808"/>
  <c r="M807"/>
  <c r="M806"/>
  <c r="M805"/>
  <c r="M804"/>
  <c r="M803"/>
  <c r="M802"/>
  <c r="M801"/>
  <c r="M800"/>
  <c r="M799"/>
  <c r="M798"/>
  <c r="M797"/>
  <c r="M796"/>
  <c r="M795"/>
  <c r="M794"/>
  <c r="M793"/>
  <c r="M792"/>
  <c r="M791"/>
  <c r="M790"/>
  <c r="M789"/>
  <c r="M788"/>
  <c r="M787"/>
  <c r="M786"/>
  <c r="M785"/>
  <c r="M784"/>
  <c r="M783"/>
  <c r="M782"/>
  <c r="M781"/>
  <c r="M780"/>
  <c r="M779"/>
  <c r="M778"/>
  <c r="M777"/>
  <c r="M776"/>
  <c r="M775"/>
  <c r="M774"/>
  <c r="M773"/>
  <c r="M772"/>
  <c r="M771"/>
  <c r="M770"/>
  <c r="M769"/>
  <c r="M768"/>
  <c r="M767"/>
  <c r="M766"/>
  <c r="M765"/>
  <c r="M764"/>
  <c r="M763"/>
  <c r="M762"/>
  <c r="M761"/>
  <c r="M760"/>
  <c r="M759"/>
  <c r="M758"/>
  <c r="M757"/>
  <c r="M756"/>
  <c r="M755"/>
  <c r="M754"/>
  <c r="M753"/>
  <c r="M752"/>
  <c r="M751"/>
  <c r="M750"/>
  <c r="M749"/>
  <c r="M748"/>
  <c r="M747"/>
  <c r="M746"/>
  <c r="M745"/>
  <c r="M744"/>
  <c r="M743"/>
  <c r="M742"/>
  <c r="M741"/>
  <c r="M740"/>
  <c r="M739"/>
  <c r="M738"/>
  <c r="M737"/>
  <c r="M736"/>
  <c r="M735"/>
  <c r="M734"/>
  <c r="M733"/>
  <c r="M732"/>
  <c r="M731"/>
  <c r="M730"/>
  <c r="M729"/>
  <c r="M728"/>
  <c r="M727"/>
  <c r="M726"/>
  <c r="M725"/>
  <c r="M724"/>
  <c r="M723"/>
  <c r="M722"/>
  <c r="M721"/>
  <c r="M720"/>
  <c r="M719"/>
  <c r="M718"/>
  <c r="M717"/>
  <c r="M716"/>
  <c r="M715"/>
  <c r="M714"/>
  <c r="M713"/>
  <c r="M712"/>
  <c r="M711"/>
  <c r="M710"/>
  <c r="M709"/>
  <c r="M708"/>
  <c r="M707"/>
  <c r="M706"/>
  <c r="M705"/>
  <c r="M704"/>
  <c r="M703"/>
  <c r="M702"/>
  <c r="M701"/>
  <c r="M700"/>
  <c r="M699"/>
  <c r="M698"/>
  <c r="M697"/>
  <c r="M696"/>
  <c r="M695"/>
  <c r="M694"/>
  <c r="M693"/>
  <c r="M692"/>
  <c r="M691"/>
  <c r="M690"/>
  <c r="M689"/>
  <c r="M688"/>
  <c r="M687"/>
  <c r="M686"/>
  <c r="M685"/>
  <c r="M684"/>
  <c r="M683"/>
  <c r="M682"/>
  <c r="M681"/>
  <c r="M680"/>
  <c r="M679"/>
  <c r="M678"/>
  <c r="M677"/>
  <c r="M676"/>
  <c r="M675"/>
  <c r="M674"/>
  <c r="M673"/>
  <c r="M672"/>
  <c r="M671"/>
  <c r="M670"/>
  <c r="M669"/>
  <c r="M668"/>
  <c r="M667"/>
  <c r="M666"/>
  <c r="M665"/>
  <c r="M664"/>
  <c r="M663"/>
  <c r="M662"/>
  <c r="M661"/>
  <c r="M660"/>
  <c r="M659"/>
  <c r="M658"/>
  <c r="M657"/>
  <c r="M656"/>
  <c r="M655"/>
  <c r="M654"/>
  <c r="M653"/>
  <c r="M652"/>
  <c r="M651"/>
  <c r="M650"/>
  <c r="M649"/>
  <c r="M648"/>
  <c r="M647"/>
  <c r="M646"/>
  <c r="M645"/>
  <c r="M644"/>
  <c r="M643"/>
  <c r="M642"/>
  <c r="M641"/>
  <c r="M640"/>
  <c r="M639"/>
  <c r="M638"/>
  <c r="M637"/>
  <c r="M636"/>
  <c r="M635"/>
  <c r="M634"/>
  <c r="M633"/>
  <c r="M632"/>
  <c r="M631"/>
  <c r="M630"/>
  <c r="M629"/>
  <c r="M628"/>
  <c r="M627"/>
  <c r="M626"/>
  <c r="M625"/>
  <c r="M624"/>
  <c r="M623"/>
  <c r="M622"/>
  <c r="M621"/>
  <c r="M620"/>
  <c r="M619"/>
  <c r="M618"/>
  <c r="M617"/>
  <c r="M616"/>
  <c r="M615"/>
  <c r="M614"/>
  <c r="M613"/>
  <c r="M612"/>
  <c r="M611"/>
  <c r="M610"/>
  <c r="M609"/>
  <c r="M608"/>
  <c r="M607"/>
  <c r="M606"/>
  <c r="M605"/>
  <c r="M604"/>
  <c r="M603"/>
  <c r="M602"/>
  <c r="M601"/>
  <c r="M600"/>
  <c r="M599"/>
  <c r="M598"/>
  <c r="M597"/>
  <c r="M596"/>
  <c r="M595"/>
  <c r="M594"/>
  <c r="M593"/>
  <c r="M592"/>
  <c r="M591"/>
  <c r="M590"/>
  <c r="M589"/>
  <c r="M588"/>
  <c r="M587"/>
  <c r="M586"/>
  <c r="M585"/>
  <c r="M584"/>
  <c r="M583"/>
  <c r="M582"/>
  <c r="M581"/>
  <c r="M580"/>
  <c r="M579"/>
  <c r="M578"/>
  <c r="M577"/>
  <c r="M576"/>
  <c r="M575"/>
  <c r="M574"/>
  <c r="M573"/>
  <c r="M572"/>
  <c r="M571"/>
  <c r="M570"/>
  <c r="M569"/>
  <c r="M568"/>
  <c r="M567"/>
  <c r="M566"/>
  <c r="M565"/>
  <c r="M564"/>
  <c r="M563"/>
  <c r="M562"/>
  <c r="M561"/>
  <c r="M560"/>
  <c r="M559"/>
  <c r="M558"/>
  <c r="M557"/>
  <c r="M556"/>
  <c r="M555"/>
  <c r="M554"/>
  <c r="M553"/>
  <c r="M552"/>
  <c r="M551"/>
  <c r="M550"/>
  <c r="M549"/>
  <c r="M548"/>
  <c r="M547"/>
  <c r="M546"/>
  <c r="M545"/>
  <c r="M544"/>
  <c r="M543"/>
  <c r="M542"/>
  <c r="M541"/>
  <c r="M540"/>
  <c r="M539"/>
  <c r="M538"/>
  <c r="M537"/>
  <c r="M536"/>
  <c r="M535"/>
  <c r="M534"/>
  <c r="M533"/>
  <c r="M532"/>
  <c r="M531"/>
  <c r="M530"/>
  <c r="M529"/>
  <c r="M528"/>
  <c r="M527"/>
  <c r="M526"/>
  <c r="M525"/>
  <c r="M524"/>
  <c r="M523"/>
  <c r="M522"/>
  <c r="M521"/>
  <c r="M520"/>
  <c r="M519"/>
  <c r="M518"/>
  <c r="M517"/>
  <c r="M516"/>
  <c r="M515"/>
  <c r="M514"/>
  <c r="M513"/>
  <c r="M512"/>
  <c r="M511"/>
  <c r="M510"/>
  <c r="M509"/>
  <c r="M508"/>
  <c r="M507"/>
  <c r="M506"/>
  <c r="M505"/>
  <c r="M504"/>
  <c r="M503"/>
  <c r="M502"/>
  <c r="M501"/>
  <c r="M500"/>
  <c r="M499"/>
  <c r="M498"/>
  <c r="M497"/>
  <c r="M496"/>
  <c r="M495"/>
  <c r="M494"/>
  <c r="M493"/>
  <c r="M492"/>
  <c r="M491"/>
  <c r="M490"/>
  <c r="M489"/>
  <c r="M488"/>
  <c r="M487"/>
  <c r="M486"/>
  <c r="M485"/>
  <c r="M484"/>
  <c r="M483"/>
  <c r="M482"/>
  <c r="M481"/>
  <c r="M480"/>
  <c r="M479"/>
  <c r="M478"/>
  <c r="M477"/>
  <c r="M476"/>
  <c r="M475"/>
  <c r="M474"/>
  <c r="M473"/>
  <c r="M472"/>
  <c r="M471"/>
  <c r="M470"/>
  <c r="M469"/>
  <c r="M468"/>
  <c r="M467"/>
  <c r="M466"/>
  <c r="M465"/>
  <c r="M464"/>
  <c r="M463"/>
  <c r="M462"/>
  <c r="M461"/>
  <c r="M460"/>
  <c r="M459"/>
  <c r="M458"/>
  <c r="M457"/>
  <c r="M456"/>
  <c r="M455"/>
  <c r="M454"/>
  <c r="M453"/>
  <c r="M452"/>
  <c r="M451"/>
  <c r="M450"/>
  <c r="M449"/>
  <c r="M448"/>
  <c r="M447"/>
  <c r="M446"/>
  <c r="M445"/>
  <c r="M444"/>
  <c r="M443"/>
  <c r="M442"/>
  <c r="M441"/>
  <c r="M440"/>
  <c r="M439"/>
  <c r="M438"/>
  <c r="M437"/>
  <c r="M436"/>
  <c r="M435"/>
  <c r="M434"/>
  <c r="M433"/>
  <c r="M432"/>
  <c r="M431"/>
  <c r="M430"/>
  <c r="M429"/>
  <c r="M428"/>
  <c r="M427"/>
  <c r="M426"/>
  <c r="M425"/>
  <c r="M424"/>
  <c r="M423"/>
  <c r="M422"/>
  <c r="M421"/>
  <c r="M420"/>
  <c r="M419"/>
  <c r="M418"/>
  <c r="M417"/>
  <c r="M416"/>
  <c r="M415"/>
  <c r="M414"/>
  <c r="M413"/>
  <c r="M412"/>
  <c r="M411"/>
  <c r="M410"/>
  <c r="M409"/>
  <c r="M408"/>
  <c r="M407"/>
  <c r="M406"/>
  <c r="M405"/>
  <c r="M404"/>
  <c r="M403"/>
  <c r="M402"/>
  <c r="M401"/>
  <c r="M400"/>
  <c r="M399"/>
  <c r="M398"/>
  <c r="M397"/>
  <c r="M396"/>
  <c r="M395"/>
  <c r="M394"/>
  <c r="M393"/>
  <c r="M392"/>
  <c r="M391"/>
  <c r="M390"/>
  <c r="M389"/>
  <c r="M388"/>
  <c r="M387"/>
  <c r="M386"/>
  <c r="M385"/>
  <c r="M384"/>
  <c r="M383"/>
  <c r="M382"/>
  <c r="M381"/>
  <c r="M380"/>
  <c r="M379"/>
  <c r="M378"/>
  <c r="M377"/>
  <c r="M376"/>
  <c r="M375"/>
  <c r="M374"/>
  <c r="M373"/>
  <c r="M372"/>
  <c r="M371"/>
  <c r="M370"/>
  <c r="M369"/>
  <c r="M368"/>
  <c r="M367"/>
  <c r="M366"/>
  <c r="M365"/>
  <c r="M364"/>
  <c r="M363"/>
  <c r="M362"/>
  <c r="M361"/>
  <c r="M360"/>
  <c r="M359"/>
  <c r="M358"/>
  <c r="M357"/>
  <c r="M356"/>
  <c r="M355"/>
  <c r="M354"/>
  <c r="M353"/>
  <c r="M352"/>
  <c r="M351"/>
  <c r="M350"/>
  <c r="M349"/>
  <c r="M348"/>
  <c r="M347"/>
  <c r="M346"/>
  <c r="M345"/>
  <c r="M344"/>
  <c r="M343"/>
  <c r="M342"/>
  <c r="M341"/>
  <c r="M340"/>
  <c r="M339"/>
  <c r="M338"/>
  <c r="M337"/>
  <c r="M336"/>
  <c r="M335"/>
  <c r="M334"/>
  <c r="M333"/>
  <c r="M332"/>
  <c r="M331"/>
  <c r="M330"/>
  <c r="M329"/>
  <c r="M328"/>
  <c r="M327"/>
  <c r="M326"/>
  <c r="M325"/>
  <c r="M324"/>
  <c r="M323"/>
  <c r="M322"/>
  <c r="M321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</calcChain>
</file>

<file path=xl/sharedStrings.xml><?xml version="1.0" encoding="utf-8"?>
<sst xmlns="http://schemas.openxmlformats.org/spreadsheetml/2006/main">
  <si>
    <t>Values</t>
  </si>
  <si>
    <t>Sum of Total Sales</t>
  </si>
  <si>
    <t>Sum of Profit</t>
  </si>
  <si>
    <t>Count of Order ID</t>
  </si>
  <si>
    <t>Sum of Profit Margin</t>
  </si>
  <si>
    <t>Row Labels</t>
  </si>
  <si>
    <t>Total Orders</t>
  </si>
  <si>
    <t>Sum of Discount (%)</t>
  </si>
  <si>
    <t>Central</t>
  </si>
  <si>
    <t>East</t>
  </si>
  <si>
    <t>North</t>
  </si>
  <si>
    <t>South</t>
  </si>
  <si>
    <t>West</t>
  </si>
  <si>
    <t>Grand Total</t>
  </si>
  <si>
    <t>Consumer</t>
  </si>
  <si>
    <t>Corporate</t>
  </si>
  <si>
    <t>Home Office</t>
  </si>
  <si>
    <t>Small Business</t>
  </si>
  <si>
    <t>Average of Discount (%)</t>
  </si>
  <si>
    <t>Clothing</t>
  </si>
  <si>
    <t>Electronics</t>
  </si>
  <si>
    <t>Furniture</t>
  </si>
  <si>
    <t>Office Supplies</t>
  </si>
  <si>
    <t>0-10%</t>
  </si>
  <si>
    <t>10-20%</t>
  </si>
  <si>
    <t>20%+</t>
  </si>
  <si>
    <t>Column Labels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</si>
  <si>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</si>
  <si>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</si>
  <si>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</si>
  <si>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</si>
  <si>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</si>
  <si>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</si>
  <si>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</si>
  <si>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</si>
  <si>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</si>
  <si>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</si>
  <si>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</si>
  <si>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</si>
  <si>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</si>
  <si>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Order Date</t>
  </si>
  <si>
    <t>Order ID</t>
  </si>
  <si>
    <t>Customer Segment</t>
  </si>
  <si>
    <t>Region</t>
  </si>
  <si>
    <t>Category</t>
  </si>
  <si>
    <t>Product</t>
  </si>
  <si>
    <t>Unit Price</t>
  </si>
  <si>
    <t>Quantity</t>
  </si>
  <si>
    <t>Total Sales</t>
  </si>
  <si>
    <t>Discount (%)</t>
  </si>
  <si>
    <t>Profit</t>
  </si>
  <si>
    <t>Shipping Mode</t>
  </si>
  <si>
    <t>Discount Bucket</t>
  </si>
  <si>
    <t>ORD-1000</t>
  </si>
  <si>
    <t>Binder</t>
  </si>
  <si>
    <t>Same Day</t>
  </si>
  <si>
    <t>ORD-1001</t>
  </si>
  <si>
    <t>T-shirt</t>
  </si>
  <si>
    <t>Second Class</t>
  </si>
  <si>
    <t>ORD-1002</t>
  </si>
  <si>
    <t>Hat</t>
  </si>
  <si>
    <t>ORD-1003</t>
  </si>
  <si>
    <t>Jeans</t>
  </si>
  <si>
    <t>Standard Class</t>
  </si>
  <si>
    <t>ORD-1004</t>
  </si>
  <si>
    <t>Monitor</t>
  </si>
  <si>
    <t>ORD-1005</t>
  </si>
  <si>
    <t>Jacket</t>
  </si>
  <si>
    <t>ORD-1006</t>
  </si>
  <si>
    <t>Headphones</t>
  </si>
  <si>
    <t>ORD-1007</t>
  </si>
  <si>
    <t>Envelopes</t>
  </si>
  <si>
    <t>First Class</t>
  </si>
  <si>
    <t>ORD-1008</t>
  </si>
  <si>
    <t>Laptop</t>
  </si>
  <si>
    <t>ORD-1009</t>
  </si>
  <si>
    <t>Bookshelf</t>
  </si>
  <si>
    <t>ORD-1010</t>
  </si>
  <si>
    <t>Chair</t>
  </si>
  <si>
    <t>ORD-1011</t>
  </si>
  <si>
    <t>Smartphone</t>
  </si>
  <si>
    <t>ORD-1012</t>
  </si>
  <si>
    <t>Desk</t>
  </si>
  <si>
    <t>ORD-1013</t>
  </si>
  <si>
    <t>Paper</t>
  </si>
  <si>
    <t>ORD-1014</t>
  </si>
  <si>
    <t>ORD-1015</t>
  </si>
  <si>
    <t>ORD-1016</t>
  </si>
  <si>
    <t>Lamp</t>
  </si>
  <si>
    <t>ORD-1017</t>
  </si>
  <si>
    <t>ORD-1018</t>
  </si>
  <si>
    <t>ORD-1019</t>
  </si>
  <si>
    <t>ORD-1020</t>
  </si>
  <si>
    <t>ORD-1021</t>
  </si>
  <si>
    <t>ORD-1022</t>
  </si>
  <si>
    <t>ORD-1023</t>
  </si>
  <si>
    <t>Sofa</t>
  </si>
  <si>
    <t>ORD-1024</t>
  </si>
  <si>
    <t>Sneakers</t>
  </si>
  <si>
    <t>ORD-1025</t>
  </si>
  <si>
    <t>ORD-1026</t>
  </si>
  <si>
    <t>Tablet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</si>
  <si>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</si>
  <si>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</si>
  <si>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</si>
  <si>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</si>
  <si>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</si>
  <si>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</si>
  <si>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</si>
  <si>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</si>
  <si>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Stapler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</si>
  <si>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</si>
  <si>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</si>
  <si>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</si>
  <si>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</si>
  <si>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</si>
  <si>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</si>
  <si>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</si>
  <si>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</si>
  <si>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</si>
  <si>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</si>
  <si>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</si>
  <si>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</si>
  <si>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</si>
  <si>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</si>
  <si>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Pens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</si>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</sst>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3F3F3F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10" fontId="0" fillId="0" borderId="0" xfId="0" applyNumberFormat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pivotCacheDefinition" Target="pivotCache/pivotCacheDefinition1.xml" /><Relationship Id="rId9" Type="http://schemas.openxmlformats.org/officeDocument/2006/relationships/pivotCacheDefinition" Target="pivotCache/pivotCacheDefinition2.xml" /><Relationship Id="rId10" Type="http://schemas.openxmlformats.org/officeDocument/2006/relationships/styles" Target="styles.xml" /><Relationship Id="rId11" Type="http://schemas.openxmlformats.org/officeDocument/2006/relationships/theme" Target="theme/theme1.xml" /><Relationship Id="rId12" Type="http://schemas.openxmlformats.org/officeDocument/2006/relationships/calcChain" Target="calcChain.xml" /><Relationship Id="rId13" Type="http://schemas.openxmlformats.org/officeDocument/2006/relationships/sharedStrings" Target="sharedStrings.xml" /></Relationships>
</file>

<file path=xl/pivotCache/_rels/pivotCacheDefinition1.xml.rels>&#65279;<?xml version="1.0" encoding="utf-8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_rels/pivotCacheDefinition2.xml.rels>&#65279;<?xml version="1.0" encoding="utf-8"?><Relationships xmlns="http://schemas.openxmlformats.org/package/2006/relationships"><Relationship Id="rId1" Type="http://schemas.openxmlformats.org/officeDocument/2006/relationships/pivotCacheRecords" Target="pivotCacheRecords2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1" refreshedBy="Manzur Rahman" refreshedDate="46133.6391142477" createdVersion="5" recordCount="1000">
  <cacheSource type="worksheet">
    <worksheetSource sheet="Raw Sales Data" ref="$A$2:$L$1002"/>
  </cacheSource>
  <cacheFields count="13">
    <cacheField name="Order Date" numFmtId="0">
      <sharedItems containsSemiMixedTypes="0" containsNonDate="0" containsDate="1" containsString="0" minDate="2023-01-01T00:00:00" maxDate="2024-01-01T00:00:00" count="345">
        <d v="2023-10-20T00:00:00"/>
        <d v="2023-04-07T00:00:00"/>
        <d v="2023-03-06T00:00:00"/>
        <d v="2023-01-23T00:00:00"/>
        <d v="2023-01-10T00:00:00"/>
        <d v="2023-04-23T00:00:00"/>
        <d v="2023-08-12T00:00:00"/>
        <d v="2023-12-08T00:00:00"/>
        <d v="2023-12-12T00:00:00"/>
        <d v="2023-06-26T00:00:00"/>
        <d v="2023-03-02T00:00:00"/>
        <d v="2023-12-21T00:00:00"/>
        <d v="2023-12-31T00:00:00"/>
        <d v="2023-02-05T00:00:00"/>
        <d v="2023-08-02T00:00:00"/>
        <d v="2023-05-04T00:00:00"/>
        <d v="2023-08-23T00:00:00"/>
        <d v="2023-05-02T00:00:00"/>
        <d v="2023-01-03T00:00:00"/>
        <d v="2023-09-14T00:00:00"/>
        <d v="2023-07-11T00:00:00"/>
        <d v="2023-12-26T00:00:00"/>
        <d v="2023-07-01T00:00:00"/>
        <d v="2023-09-24T00:00:00"/>
        <d v="2023-05-09T00:00:00"/>
        <d v="2023-03-13T00:00:00"/>
        <d v="2023-09-06T00:00:00"/>
        <d v="2023-06-05T00:00:00"/>
        <d v="2023-04-26T00:00:00"/>
        <d v="2023-06-02T00:00:00"/>
        <d v="2023-06-09T00:00:00"/>
        <d v="2023-08-17T00:00:00"/>
        <d v="2023-11-23T00:00:00"/>
        <d v="2023-06-04T00:00:00"/>
        <d v="2023-01-15T00:00:00"/>
        <d v="2023-04-13T00:00:00"/>
        <d v="2023-10-27T00:00:00"/>
        <d v="2023-05-29T00:00:00"/>
        <d v="2023-10-08T00:00:00"/>
        <d v="2023-10-15T00:00:00"/>
        <d v="2023-02-24T00:00:00"/>
        <d v="2023-09-25T00:00:00"/>
        <d v="2023-08-28T00:00:00"/>
        <d v="2023-10-24T00:00:00"/>
        <d v="2023-03-24T00:00:00"/>
        <d v="2023-10-17T00:00:00"/>
        <d v="2023-09-23T00:00:00"/>
        <d v="2023-04-11T00:00:00"/>
        <d v="2023-08-25T00:00:00"/>
        <d v="2023-10-21T00:00:00"/>
        <d v="2023-10-25T00:00:00"/>
        <d v="2023-11-30T00:00:00"/>
        <d v="2023-10-07T00:00:00"/>
        <d v="2023-04-15T00:00:00"/>
        <d v="2023-06-24T00:00:00"/>
        <d v="2023-05-14T00:00:00"/>
        <d v="2023-10-09T00:00:00"/>
        <d v="2023-07-25T00:00:00"/>
        <d v="2023-01-09T00:00:00"/>
        <d v="2023-06-22T00:00:00"/>
        <d v="2023-06-07T00:00:00"/>
        <d v="2023-03-05T00:00:00"/>
        <d v="2023-09-09T00:00:00"/>
        <d v="2023-12-24T00:00:00"/>
        <d v="2023-02-10T00:00:00"/>
        <d v="2023-01-11T00:00:00"/>
        <d v="2023-02-07T00:00:00"/>
        <d v="2023-03-26T00:00:00"/>
        <d v="2023-07-02T00:00:00"/>
        <d v="2023-04-12T00:00:00"/>
        <d v="2023-11-20T00:00:00"/>
        <d v="2023-09-15T00:00:00"/>
        <d v="2023-08-08T00:00:00"/>
        <d v="2023-12-27T00:00:00"/>
        <d v="2023-01-06T00:00:00"/>
        <d v="2023-02-26T00:00:00"/>
        <d v="2023-01-04T00:00:00"/>
        <d v="2023-10-13T00:00:00"/>
        <d v="2023-07-03T00:00:00"/>
        <d v="2023-03-22T00:00:00"/>
        <d v="2023-12-11T00:00:00"/>
        <d v="2023-09-13T00:00:00"/>
        <d v="2023-01-31T00:00:00"/>
        <d v="2023-05-03T00:00:00"/>
        <d v="2023-12-01T00:00:00"/>
        <d v="2023-03-15T00:00:00"/>
        <d v="2023-10-03T00:00:00"/>
        <d v="2023-01-25T00:00:00"/>
        <d v="2023-03-01T00:00:00"/>
        <d v="2023-03-07T00:00:00"/>
        <d v="2023-03-28T00:00:00"/>
        <d v="2023-10-10T00:00:00"/>
        <d v="2023-12-06T00:00:00"/>
        <d v="2023-05-13T00:00:00"/>
        <d v="2023-06-06T00:00:00"/>
        <d v="2023-03-08T00:00:00"/>
        <d v="2023-09-30T00:00:00"/>
        <d v="2023-09-22T00:00:00"/>
        <d v="2023-09-10T00:00:00"/>
        <d v="2023-12-05T00:00:00"/>
        <d v="2023-11-22T00:00:00"/>
        <d v="2023-09-12T00:00:00"/>
        <d v="2023-09-29T00:00:00"/>
        <d v="2023-06-13T00:00:00"/>
        <d v="2023-03-19T00:00:00"/>
        <d v="2023-01-01T00:00:00"/>
        <d v="2023-03-21T00:00:00"/>
        <d v="2023-02-18T00:00:00"/>
        <d v="2023-05-22T00:00:00"/>
        <d v="2023-03-09T00:00:00"/>
        <d v="2023-10-05T00:00:00"/>
        <d v="2023-08-20T00:00:00"/>
        <d v="2023-05-16T00:00:00"/>
        <d v="2023-11-15T00:00:00"/>
        <d v="2023-05-15T00:00:00"/>
        <d v="2023-04-18T00:00:00"/>
        <d v="2023-11-04T00:00:00"/>
        <d v="2023-11-06T00:00:00"/>
        <d v="2023-04-08T00:00:00"/>
        <d v="2023-09-07T00:00:00"/>
        <d v="2023-09-20T00:00:00"/>
        <d v="2023-04-22T00:00:00"/>
        <d v="2023-02-27T00:00:00"/>
        <d v="2023-07-13T00:00:00"/>
        <d v="2023-04-29T00:00:00"/>
        <d v="2023-12-04T00:00:00"/>
        <d v="2023-01-08T00:00:00"/>
        <d v="2023-06-01T00:00:00"/>
        <d v="2023-06-29T00:00:00"/>
        <d v="2023-01-30T00:00:00"/>
        <d v="2023-07-06T00:00:00"/>
        <d v="2023-03-25T00:00:00"/>
        <d v="2023-11-16T00:00:00"/>
        <d v="2023-04-10T00:00:00"/>
        <d v="2023-05-21T00:00:00"/>
        <d v="2023-05-24T00:00:00"/>
        <d v="2023-02-28T00:00:00"/>
        <d v="2023-06-21T00:00:00"/>
        <d v="2023-11-05T00:00:00"/>
        <d v="2023-08-07T00:00:00"/>
        <d v="2023-02-23T00:00:00"/>
        <d v="2023-03-27T00:00:00"/>
        <d v="2023-10-19T00:00:00"/>
        <d v="2023-06-28T00:00:00"/>
        <d v="2023-04-16T00:00:00"/>
        <d v="2023-02-12T00:00:00"/>
        <d v="2023-04-03T00:00:00"/>
        <d v="2023-07-12T00:00:00"/>
        <d v="2023-01-24T00:00:00"/>
        <d v="2023-11-28T00:00:00"/>
        <d v="2023-07-04T00:00:00"/>
        <d v="2023-10-04T00:00:00"/>
        <d v="2023-03-29T00:00:00"/>
        <d v="2023-06-15T00:00:00"/>
        <d v="2023-10-06T00:00:00"/>
        <d v="2023-02-16T00:00:00"/>
        <d v="2023-12-20T00:00:00"/>
        <d v="2023-09-27T00:00:00"/>
        <d v="2023-10-16T00:00:00"/>
        <d v="2023-09-28T00:00:00"/>
        <d v="2023-04-09T00:00:00"/>
        <d v="2023-09-19T00:00:00"/>
        <d v="2023-04-14T00:00:00"/>
        <d v="2023-12-17T00:00:00"/>
        <d v="2023-11-11T00:00:00"/>
        <d v="2023-07-09T00:00:00"/>
        <d v="2023-12-29T00:00:00"/>
        <d v="2023-04-25T00:00:00"/>
        <d v="2023-05-28T00:00:00"/>
        <d v="2023-12-09T00:00:00"/>
        <d v="2023-12-07T00:00:00"/>
        <d v="2023-12-03T00:00:00"/>
        <d v="2023-07-18T00:00:00"/>
        <d v="2023-11-24T00:00:00"/>
        <d v="2023-08-01T00:00:00"/>
        <d v="2023-05-26T00:00:00"/>
        <d v="2023-06-23T00:00:00"/>
        <d v="2023-04-06T00:00:00"/>
        <d v="2023-01-07T00:00:00"/>
        <d v="2023-03-30T00:00:00"/>
        <d v="2023-04-01T00:00:00"/>
        <d v="2023-04-28T00:00:00"/>
        <d v="2023-10-30T00:00:00"/>
        <d v="2023-07-30T00:00:00"/>
        <d v="2023-10-29T00:00:00"/>
        <d v="2023-01-17T00:00:00"/>
        <d v="2023-05-06T00:00:00"/>
        <d v="2023-08-18T00:00:00"/>
        <d v="2023-02-01T00:00:00"/>
        <d v="2023-04-21T00:00:00"/>
        <d v="2023-04-20T00:00:00"/>
        <d v="2023-09-05T00:00:00"/>
        <d v="2023-11-10T00:00:00"/>
        <d v="2023-01-19T00:00:00"/>
        <d v="2023-06-25T00:00:00"/>
        <d v="2023-04-17T00:00:00"/>
        <d v="2023-06-17T00:00:00"/>
        <d v="2023-08-29T00:00:00"/>
        <d v="2023-06-14T00:00:00"/>
        <d v="2023-08-05T00:00:00"/>
        <d v="2023-05-08T00:00:00"/>
        <d v="2023-05-31T00:00:00"/>
        <d v="2023-07-27T00:00:00"/>
        <d v="2023-02-20T00:00:00"/>
        <d v="2023-01-20T00:00:00"/>
        <d v="2023-03-23T00:00:00"/>
        <d v="2023-11-27T00:00:00"/>
        <d v="2023-07-08T00:00:00"/>
        <d v="2023-10-12T00:00:00"/>
        <d v="2023-04-27T00:00:00"/>
        <d v="2023-06-18T00:00:00"/>
        <d v="2023-05-23T00:00:00"/>
        <d v="2023-12-19T00:00:00"/>
        <d v="2023-06-12T00:00:00"/>
        <d v="2023-11-03T00:00:00"/>
        <d v="2023-09-17T00:00:00"/>
        <d v="2023-08-26T00:00:00"/>
        <d v="2023-02-21T00:00:00"/>
        <d v="2023-04-04T00:00:00"/>
        <d v="2023-01-22T00:00:00"/>
        <d v="2023-08-21T00:00:00"/>
        <d v="2023-03-03T00:00:00"/>
        <d v="2023-12-28T00:00:00"/>
        <d v="2023-01-18T00:00:00"/>
        <d v="2023-08-06T00:00:00"/>
        <d v="2023-08-22T00:00:00"/>
        <d v="2023-11-02T00:00:00"/>
        <d v="2023-04-05T00:00:00"/>
        <d v="2023-12-16T00:00:00"/>
        <d v="2023-02-25T00:00:00"/>
        <d v="2023-10-31T00:00:00"/>
        <d v="2023-09-18T00:00:00"/>
        <d v="2023-08-09T00:00:00"/>
        <d v="2023-08-03T00:00:00"/>
        <d v="2023-01-28T00:00:00"/>
        <d v="2023-04-19T00:00:00"/>
        <d v="2023-11-14T00:00:00"/>
        <d v="2023-07-24T00:00:00"/>
        <d v="2023-12-14T00:00:00"/>
        <d v="2023-06-20T00:00:00"/>
        <d v="2023-10-18T00:00:00"/>
        <d v="2023-05-18T00:00:00"/>
        <d v="2023-11-21T00:00:00"/>
        <d v="2023-03-14T00:00:00"/>
        <d v="2023-08-13T00:00:00"/>
        <d v="2023-07-21T00:00:00"/>
        <d v="2023-05-07T00:00:00"/>
        <d v="2023-03-20T00:00:00"/>
        <d v="2023-02-06T00:00:00"/>
        <d v="2023-05-01T00:00:00"/>
        <d v="2023-12-10T00:00:00"/>
        <d v="2023-06-27T00:00:00"/>
        <d v="2023-08-10T00:00:00"/>
        <d v="2023-05-12T00:00:00"/>
        <d v="2023-08-04T00:00:00"/>
        <d v="2023-12-30T00:00:00"/>
        <d v="2023-09-16T00:00:00"/>
        <d v="2023-01-21T00:00:00"/>
        <d v="2023-08-14T00:00:00"/>
        <d v="2023-02-14T00:00:00"/>
        <d v="2023-02-09T00:00:00"/>
        <d v="2023-07-29T00:00:00"/>
        <d v="2023-11-07T00:00:00"/>
        <d v="2023-11-19T00:00:00"/>
        <d v="2023-09-26T00:00:00"/>
        <d v="2023-08-24T00:00:00"/>
        <d v="2023-03-31T00:00:00"/>
        <d v="2023-02-03T00:00:00"/>
        <d v="2023-01-27T00:00:00"/>
        <d v="2023-01-29T00:00:00"/>
        <d v="2023-03-11T00:00:00"/>
        <d v="2023-12-23T00:00:00"/>
        <d v="2023-08-19T00:00:00"/>
        <d v="2023-11-08T00:00:00"/>
        <d v="2023-07-31T00:00:00"/>
        <d v="2023-09-01T00:00:00"/>
        <d v="2023-03-10T00:00:00"/>
        <d v="2023-02-13T00:00:00"/>
        <d v="2023-07-14T00:00:00"/>
        <d v="2023-10-23T00:00:00"/>
        <d v="2023-05-17T00:00:00"/>
        <d v="2023-11-26T00:00:00"/>
        <d v="2023-08-11T00:00:00"/>
        <d v="2023-07-22T00:00:00"/>
        <d v="2023-11-29T00:00:00"/>
        <d v="2023-09-03T00:00:00"/>
        <d v="2023-05-05T00:00:00"/>
        <d v="2023-06-11T00:00:00"/>
        <d v="2023-09-02T00:00:00"/>
        <d v="2023-04-24T00:00:00"/>
        <d v="2023-09-08T00:00:00"/>
        <d v="2023-06-03T00:00:00"/>
        <d v="2023-11-09T00:00:00"/>
        <d v="2023-02-15T00:00:00"/>
        <d v="2023-10-01T00:00:00"/>
        <d v="2023-03-12T00:00:00"/>
        <d v="2023-09-21T00:00:00"/>
        <d v="2023-11-25T00:00:00"/>
        <d v="2023-07-23T00:00:00"/>
        <d v="2023-10-26T00:00:00"/>
        <d v="2023-02-19T00:00:00"/>
        <d v="2023-07-05T00:00:00"/>
        <d v="2023-01-14T00:00:00"/>
        <d v="2023-02-04T00:00:00"/>
        <d v="2023-10-22T00:00:00"/>
        <d v="2023-08-27T00:00:00"/>
        <d v="2023-06-08T00:00:00"/>
        <d v="2023-07-07T00:00:00"/>
        <d v="2023-05-19T00:00:00"/>
        <d v="2023-02-17T00:00:00"/>
        <d v="2023-07-19T00:00:00"/>
        <d v="2023-11-18T00:00:00"/>
        <d v="2023-07-28T00:00:00"/>
        <d v="2023-12-15T00:00:00"/>
        <d v="2023-08-16T00:00:00"/>
        <d v="2023-02-02T00:00:00"/>
        <d v="2023-12-18T00:00:00"/>
        <d v="2023-11-17T00:00:00"/>
        <d v="2023-06-30T00:00:00"/>
        <d v="2023-03-17T00:00:00"/>
        <d v="2023-01-26T00:00:00"/>
        <d v="2023-11-12T00:00:00"/>
        <d v="2023-06-16T00:00:00"/>
        <d v="2023-07-20T00:00:00"/>
        <d v="2023-09-04T00:00:00"/>
        <d v="2023-10-02T00:00:00"/>
        <d v="2023-05-11T00:00:00"/>
        <d v="2023-12-13T00:00:00"/>
        <d v="2023-12-25T00:00:00"/>
        <d v="2023-04-30T00:00:00"/>
        <d v="2023-01-05T00:00:00"/>
        <d v="2023-05-27T00:00:00"/>
        <d v="2023-11-01T00:00:00"/>
        <d v="2023-05-25T00:00:00"/>
        <d v="2023-11-13T00:00:00"/>
        <d v="2023-07-10T00:00:00"/>
        <d v="2023-02-11T00:00:00"/>
        <d v="2023-10-11T00:00:00"/>
        <d v="2023-01-02T00:00:00"/>
        <d v="2023-02-08T00:00:00"/>
        <d v="2023-03-18T00:00:00"/>
        <d v="2023-01-13T00:00:00"/>
        <d v="2023-06-19T00:00:00"/>
        <d v="2023-01-16T00:00:00"/>
        <d v="2023-08-30T00:00:00"/>
      </sharedItems>
    </cacheField>
    <cacheField name="Order ID" numFmtId="0">
      <sharedItems count="1000">
        <s v="ORD-1000"/>
        <s v="ORD-1001"/>
        <s v="ORD-1002"/>
        <s v="ORD-1003"/>
        <s v="ORD-1004"/>
        <s v="ORD-1005"/>
        <s v="ORD-1006"/>
        <s v="ORD-1007"/>
        <s v="ORD-1008"/>
        <s v="ORD-1009"/>
        <s v="ORD-1010"/>
        <s v="ORD-1011"/>
        <s v="ORD-1012"/>
        <s v="ORD-1013"/>
        <s v="ORD-1014"/>
        <s v="ORD-1015"/>
        <s v="ORD-1016"/>
        <s v="ORD-1017"/>
        <s v="ORD-1018"/>
        <s v="ORD-1019"/>
        <s v="ORD-1020"/>
        <s v="ORD-1021"/>
        <s v="ORD-1022"/>
        <s v="ORD-1023"/>
        <s v="ORD-1024"/>
        <s v="ORD-1025"/>
        <s v="ORD-1026"/>
        <s v="ORD-1027"/>
        <s v="ORD-1028"/>
        <s v="ORD-1029"/>
        <s v="ORD-1030"/>
        <s v="ORD-1031"/>
        <s v="ORD-1032"/>
        <s v="ORD-1033"/>
        <s v="ORD-1034"/>
        <s v="ORD-1035"/>
        <s v="ORD-1036"/>
        <s v="ORD-1037"/>
        <s v="ORD-1038"/>
        <s v="ORD-1039"/>
        <s v="ORD-1040"/>
        <s v="ORD-1041"/>
        <s v="ORD-1042"/>
        <s v="ORD-1043"/>
        <s v="ORD-1044"/>
        <s v="ORD-1045"/>
        <s v="ORD-1046"/>
        <s v="ORD-1047"/>
        <s v="ORD-1048"/>
        <s v="ORD-1049"/>
        <s v="ORD-1050"/>
        <s v="ORD-1051"/>
        <s v="ORD-1052"/>
        <s v="ORD-1053"/>
        <s v="ORD-1054"/>
        <s v="ORD-1055"/>
        <s v="ORD-1056"/>
        <s v="ORD-1057"/>
        <s v="ORD-1058"/>
        <s v="ORD-1059"/>
        <s v="ORD-1060"/>
        <s v="ORD-1061"/>
        <s v="ORD-1062"/>
        <s v="ORD-1063"/>
        <s v="ORD-1064"/>
        <s v="ORD-1065"/>
        <s v="ORD-1066"/>
        <s v="ORD-1067"/>
        <s v="ORD-1068"/>
        <s v="ORD-1069"/>
        <s v="ORD-1070"/>
        <s v="ORD-1071"/>
        <s v="ORD-1072"/>
        <s v="ORD-1073"/>
        <s v="ORD-1074"/>
        <s v="ORD-1075"/>
        <s v="ORD-1076"/>
        <s v="ORD-1077"/>
        <s v="ORD-1078"/>
        <s v="ORD-1079"/>
        <s v="ORD-1080"/>
        <s v="ORD-1081"/>
        <s v="ORD-1082"/>
        <s v="ORD-1083"/>
        <s v="ORD-1084"/>
        <s v="ORD-1085"/>
        <s v="ORD-1086"/>
        <s v="ORD-1087"/>
        <s v="ORD-1088"/>
        <s v="ORD-1089"/>
        <s v="ORD-1090"/>
        <s v="ORD-1091"/>
        <s v="ORD-1092"/>
        <s v="ORD-1093"/>
        <s v="ORD-1094"/>
        <s v="ORD-1095"/>
        <s v="ORD-1096"/>
        <s v="ORD-1097"/>
        <s v="ORD-1098"/>
        <s v="ORD-1099"/>
        <s v="ORD-1100"/>
        <s v="ORD-1101"/>
        <s v="ORD-1102"/>
        <s v="ORD-1103"/>
        <s v="ORD-1104"/>
        <s v="ORD-1105"/>
        <s v="ORD-1106"/>
        <s v="ORD-1107"/>
        <s v="ORD-1108"/>
        <s v="ORD-1109"/>
        <s v="ORD-1110"/>
        <s v="ORD-1111"/>
        <s v="ORD-1112"/>
        <s v="ORD-1113"/>
        <s v="ORD-1114"/>
        <s v="ORD-1115"/>
        <s v="ORD-1116"/>
        <s v="ORD-1117"/>
        <s v="ORD-1118"/>
        <s v="ORD-1119"/>
        <s v="ORD-1120"/>
        <s v="ORD-1121"/>
        <s v="ORD-1122"/>
        <s v="ORD-1123"/>
        <s v="ORD-1124"/>
        <s v="ORD-1125"/>
        <s v="ORD-1126"/>
        <s v="ORD-1127"/>
        <s v="ORD-1128"/>
        <s v="ORD-1129"/>
        <s v="ORD-1130"/>
        <s v="ORD-1131"/>
        <s v="ORD-1132"/>
        <s v="ORD-1133"/>
        <s v="ORD-1134"/>
        <s v="ORD-1135"/>
        <s v="ORD-1136"/>
        <s v="ORD-1137"/>
        <s v="ORD-1138"/>
        <s v="ORD-1139"/>
        <s v="ORD-1140"/>
        <s v="ORD-1141"/>
        <s v="ORD-1142"/>
        <s v="ORD-1143"/>
        <s v="ORD-1144"/>
        <s v="ORD-1145"/>
        <s v="ORD-1146"/>
        <s v="ORD-1147"/>
        <s v="ORD-1148"/>
        <s v="ORD-1149"/>
        <s v="ORD-1150"/>
        <s v="ORD-1151"/>
        <s v="ORD-1152"/>
        <s v="ORD-1153"/>
        <s v="ORD-1154"/>
        <s v="ORD-1155"/>
        <s v="ORD-1156"/>
        <s v="ORD-1157"/>
        <s v="ORD-1158"/>
        <s v="ORD-1159"/>
        <s v="ORD-1160"/>
        <s v="ORD-1161"/>
        <s v="ORD-1162"/>
        <s v="ORD-1163"/>
        <s v="ORD-1164"/>
        <s v="ORD-1165"/>
        <s v="ORD-1166"/>
        <s v="ORD-1167"/>
        <s v="ORD-1168"/>
        <s v="ORD-1169"/>
        <s v="ORD-1170"/>
        <s v="ORD-1171"/>
        <s v="ORD-1172"/>
        <s v="ORD-1173"/>
        <s v="ORD-1174"/>
        <s v="ORD-1175"/>
        <s v="ORD-1176"/>
        <s v="ORD-1177"/>
        <s v="ORD-1178"/>
        <s v="ORD-1179"/>
        <s v="ORD-1180"/>
        <s v="ORD-1181"/>
        <s v="ORD-1182"/>
        <s v="ORD-1183"/>
        <s v="ORD-1184"/>
        <s v="ORD-1185"/>
        <s v="ORD-1186"/>
        <s v="ORD-1187"/>
        <s v="ORD-1188"/>
        <s v="ORD-1189"/>
        <s v="ORD-1190"/>
        <s v="ORD-1191"/>
        <s v="ORD-1192"/>
        <s v="ORD-1193"/>
        <s v="ORD-1194"/>
        <s v="ORD-1195"/>
        <s v="ORD-1196"/>
        <s v="ORD-1197"/>
        <s v="ORD-1198"/>
        <s v="ORD-1199"/>
        <s v="ORD-1200"/>
        <s v="ORD-1201"/>
        <s v="ORD-1202"/>
        <s v="ORD-1203"/>
        <s v="ORD-1204"/>
        <s v="ORD-1205"/>
        <s v="ORD-1206"/>
        <s v="ORD-1207"/>
        <s v="ORD-1208"/>
        <s v="ORD-1209"/>
        <s v="ORD-1210"/>
        <s v="ORD-1211"/>
        <s v="ORD-1212"/>
        <s v="ORD-1213"/>
        <s v="ORD-1214"/>
        <s v="ORD-1215"/>
        <s v="ORD-1216"/>
        <s v="ORD-1217"/>
        <s v="ORD-1218"/>
        <s v="ORD-1219"/>
        <s v="ORD-1220"/>
        <s v="ORD-1221"/>
        <s v="ORD-1222"/>
        <s v="ORD-1223"/>
        <s v="ORD-1224"/>
        <s v="ORD-1225"/>
        <s v="ORD-1226"/>
        <s v="ORD-1227"/>
        <s v="ORD-1228"/>
        <s v="ORD-1229"/>
        <s v="ORD-1230"/>
        <s v="ORD-1231"/>
        <s v="ORD-1232"/>
        <s v="ORD-1233"/>
        <s v="ORD-1234"/>
        <s v="ORD-1235"/>
        <s v="ORD-1236"/>
        <s v="ORD-1237"/>
        <s v="ORD-1238"/>
        <s v="ORD-1239"/>
        <s v="ORD-1240"/>
        <s v="ORD-1241"/>
        <s v="ORD-1242"/>
        <s v="ORD-1243"/>
        <s v="ORD-1244"/>
        <s v="ORD-1245"/>
        <s v="ORD-1246"/>
        <s v="ORD-1247"/>
        <s v="ORD-1248"/>
        <s v="ORD-1249"/>
        <s v="ORD-1250"/>
        <s v="ORD-1251"/>
        <s v="ORD-1252"/>
        <s v="ORD-1253"/>
        <s v="ORD-1254"/>
        <s v="ORD-1255"/>
        <s v="ORD-1256"/>
        <s v="ORD-1257"/>
        <s v="ORD-1258"/>
        <s v="ORD-1259"/>
        <s v="ORD-1260"/>
        <s v="ORD-1261"/>
        <s v="ORD-1262"/>
        <s v="ORD-1263"/>
        <s v="ORD-1264"/>
        <s v="ORD-1265"/>
        <s v="ORD-1266"/>
        <s v="ORD-1267"/>
        <s v="ORD-1268"/>
        <s v="ORD-1269"/>
        <s v="ORD-1270"/>
        <s v="ORD-1271"/>
        <s v="ORD-1272"/>
        <s v="ORD-1273"/>
        <s v="ORD-1274"/>
        <s v="ORD-1275"/>
        <s v="ORD-1276"/>
        <s v="ORD-1277"/>
        <s v="ORD-1278"/>
        <s v="ORD-1279"/>
        <s v="ORD-1280"/>
        <s v="ORD-1281"/>
        <s v="ORD-1282"/>
        <s v="ORD-1283"/>
        <s v="ORD-1284"/>
        <s v="ORD-1285"/>
        <s v="ORD-1286"/>
        <s v="ORD-1287"/>
        <s v="ORD-1288"/>
        <s v="ORD-1289"/>
        <s v="ORD-1290"/>
        <s v="ORD-1291"/>
        <s v="ORD-1292"/>
        <s v="ORD-1293"/>
        <s v="ORD-1294"/>
        <s v="ORD-1295"/>
        <s v="ORD-1296"/>
        <s v="ORD-1297"/>
        <s v="ORD-1298"/>
        <s v="ORD-1299"/>
        <s v="ORD-1300"/>
        <s v="ORD-1301"/>
        <s v="ORD-1302"/>
        <s v="ORD-1303"/>
        <s v="ORD-1304"/>
        <s v="ORD-1305"/>
        <s v="ORD-1306"/>
        <s v="ORD-1307"/>
        <s v="ORD-1308"/>
        <s v="ORD-1309"/>
        <s v="ORD-1310"/>
        <s v="ORD-1311"/>
        <s v="ORD-1312"/>
        <s v="ORD-1313"/>
        <s v="ORD-1314"/>
        <s v="ORD-1315"/>
        <s v="ORD-1316"/>
        <s v="ORD-1317"/>
        <s v="ORD-1318"/>
        <s v="ORD-1319"/>
        <s v="ORD-1320"/>
        <s v="ORD-1321"/>
        <s v="ORD-1322"/>
        <s v="ORD-1323"/>
        <s v="ORD-1324"/>
        <s v="ORD-1325"/>
        <s v="ORD-1326"/>
        <s v="ORD-1327"/>
        <s v="ORD-1328"/>
        <s v="ORD-1329"/>
        <s v="ORD-1330"/>
        <s v="ORD-1331"/>
        <s v="ORD-1332"/>
        <s v="ORD-1333"/>
        <s v="ORD-1334"/>
        <s v="ORD-1335"/>
        <s v="ORD-1336"/>
        <s v="ORD-1337"/>
        <s v="ORD-1338"/>
        <s v="ORD-1339"/>
        <s v="ORD-1340"/>
        <s v="ORD-1341"/>
        <s v="ORD-1342"/>
        <s v="ORD-1343"/>
        <s v="ORD-1344"/>
        <s v="ORD-1345"/>
        <s v="ORD-1346"/>
        <s v="ORD-1347"/>
        <s v="ORD-1348"/>
        <s v="ORD-1349"/>
        <s v="ORD-1350"/>
        <s v="ORD-1351"/>
        <s v="ORD-1352"/>
        <s v="ORD-1353"/>
        <s v="ORD-1354"/>
        <s v="ORD-1355"/>
        <s v="ORD-1356"/>
        <s v="ORD-1357"/>
        <s v="ORD-1358"/>
        <s v="ORD-1359"/>
        <s v="ORD-1360"/>
        <s v="ORD-1361"/>
        <s v="ORD-1362"/>
        <s v="ORD-1363"/>
        <s v="ORD-1364"/>
        <s v="ORD-1365"/>
        <s v="ORD-1366"/>
        <s v="ORD-1367"/>
        <s v="ORD-1368"/>
        <s v="ORD-1369"/>
        <s v="ORD-1370"/>
        <s v="ORD-1371"/>
        <s v="ORD-1372"/>
        <s v="ORD-1373"/>
        <s v="ORD-1374"/>
        <s v="ORD-1375"/>
        <s v="ORD-1376"/>
        <s v="ORD-1377"/>
        <s v="ORD-1378"/>
        <s v="ORD-1379"/>
        <s v="ORD-1380"/>
        <s v="ORD-1381"/>
        <s v="ORD-1382"/>
        <s v="ORD-1383"/>
        <s v="ORD-1384"/>
        <s v="ORD-1385"/>
        <s v="ORD-1386"/>
        <s v="ORD-1387"/>
        <s v="ORD-1388"/>
        <s v="ORD-1389"/>
        <s v="ORD-1390"/>
        <s v="ORD-1391"/>
        <s v="ORD-1392"/>
        <s v="ORD-1393"/>
        <s v="ORD-1394"/>
        <s v="ORD-1395"/>
        <s v="ORD-1396"/>
        <s v="ORD-1397"/>
        <s v="ORD-1398"/>
        <s v="ORD-1399"/>
        <s v="ORD-1400"/>
        <s v="ORD-1401"/>
        <s v="ORD-1402"/>
        <s v="ORD-1403"/>
        <s v="ORD-1404"/>
        <s v="ORD-1405"/>
        <s v="ORD-1406"/>
        <s v="ORD-1407"/>
        <s v="ORD-1408"/>
        <s v="ORD-1409"/>
        <s v="ORD-1410"/>
        <s v="ORD-1411"/>
        <s v="ORD-1412"/>
        <s v="ORD-1413"/>
        <s v="ORD-1414"/>
        <s v="ORD-1415"/>
        <s v="ORD-1416"/>
        <s v="ORD-1417"/>
        <s v="ORD-1418"/>
        <s v="ORD-1419"/>
        <s v="ORD-1420"/>
        <s v="ORD-1421"/>
        <s v="ORD-1422"/>
        <s v="ORD-1423"/>
        <s v="ORD-1424"/>
        <s v="ORD-1425"/>
        <s v="ORD-1426"/>
        <s v="ORD-1427"/>
        <s v="ORD-1428"/>
        <s v="ORD-1429"/>
        <s v="ORD-1430"/>
        <s v="ORD-1431"/>
        <s v="ORD-1432"/>
        <s v="ORD-1433"/>
        <s v="ORD-1434"/>
        <s v="ORD-1435"/>
        <s v="ORD-1436"/>
        <s v="ORD-1437"/>
        <s v="ORD-1438"/>
        <s v="ORD-1439"/>
        <s v="ORD-1440"/>
        <s v="ORD-1441"/>
        <s v="ORD-1442"/>
        <s v="ORD-1443"/>
        <s v="ORD-1444"/>
        <s v="ORD-1445"/>
        <s v="ORD-1446"/>
        <s v="ORD-1447"/>
        <s v="ORD-1448"/>
        <s v="ORD-1449"/>
        <s v="ORD-1450"/>
        <s v="ORD-1451"/>
        <s v="ORD-1452"/>
        <s v="ORD-1453"/>
        <s v="ORD-1454"/>
        <s v="ORD-1455"/>
        <s v="ORD-1456"/>
        <s v="ORD-1457"/>
        <s v="ORD-1458"/>
        <s v="ORD-1459"/>
        <s v="ORD-1460"/>
        <s v="ORD-1461"/>
        <s v="ORD-1462"/>
        <s v="ORD-1463"/>
        <s v="ORD-1464"/>
        <s v="ORD-1465"/>
        <s v="ORD-1466"/>
        <s v="ORD-1467"/>
        <s v="ORD-1468"/>
        <s v="ORD-1469"/>
        <s v="ORD-1470"/>
        <s v="ORD-1471"/>
        <s v="ORD-1472"/>
        <s v="ORD-1473"/>
        <s v="ORD-1474"/>
        <s v="ORD-1475"/>
        <s v="ORD-1476"/>
        <s v="ORD-1477"/>
        <s v="ORD-1478"/>
        <s v="ORD-1479"/>
        <s v="ORD-1480"/>
        <s v="ORD-1481"/>
        <s v="ORD-1482"/>
        <s v="ORD-1483"/>
        <s v="ORD-1484"/>
        <s v="ORD-1485"/>
        <s v="ORD-1486"/>
        <s v="ORD-1487"/>
        <s v="ORD-1488"/>
        <s v="ORD-1489"/>
        <s v="ORD-1490"/>
        <s v="ORD-1491"/>
        <s v="ORD-1492"/>
        <s v="ORD-1493"/>
        <s v="ORD-1494"/>
        <s v="ORD-1495"/>
        <s v="ORD-1496"/>
        <s v="ORD-1497"/>
        <s v="ORD-1498"/>
        <s v="ORD-1499"/>
        <s v="ORD-1500"/>
        <s v="ORD-1501"/>
        <s v="ORD-1502"/>
        <s v="ORD-1503"/>
        <s v="ORD-1504"/>
        <s v="ORD-1505"/>
        <s v="ORD-1506"/>
        <s v="ORD-1507"/>
        <s v="ORD-1508"/>
        <s v="ORD-1509"/>
        <s v="ORD-1510"/>
        <s v="ORD-1511"/>
        <s v="ORD-1512"/>
        <s v="ORD-1513"/>
        <s v="ORD-1514"/>
        <s v="ORD-1515"/>
        <s v="ORD-1516"/>
        <s v="ORD-1517"/>
        <s v="ORD-1518"/>
        <s v="ORD-1519"/>
        <s v="ORD-1520"/>
        <s v="ORD-1521"/>
        <s v="ORD-1522"/>
        <s v="ORD-1523"/>
        <s v="ORD-1524"/>
        <s v="ORD-1525"/>
        <s v="ORD-1526"/>
        <s v="ORD-1527"/>
        <s v="ORD-1528"/>
        <s v="ORD-1529"/>
        <s v="ORD-1530"/>
        <s v="ORD-1531"/>
        <s v="ORD-1532"/>
        <s v="ORD-1533"/>
        <s v="ORD-1534"/>
        <s v="ORD-1535"/>
        <s v="ORD-1536"/>
        <s v="ORD-1537"/>
        <s v="ORD-1538"/>
        <s v="ORD-1539"/>
        <s v="ORD-1540"/>
        <s v="ORD-1541"/>
        <s v="ORD-1542"/>
        <s v="ORD-1543"/>
        <s v="ORD-1544"/>
        <s v="ORD-1545"/>
        <s v="ORD-1546"/>
        <s v="ORD-1547"/>
        <s v="ORD-1548"/>
        <s v="ORD-1549"/>
        <s v="ORD-1550"/>
        <s v="ORD-1551"/>
        <s v="ORD-1552"/>
        <s v="ORD-1553"/>
        <s v="ORD-1554"/>
        <s v="ORD-1555"/>
        <s v="ORD-1556"/>
        <s v="ORD-1557"/>
        <s v="ORD-1558"/>
        <s v="ORD-1559"/>
        <s v="ORD-1560"/>
        <s v="ORD-1561"/>
        <s v="ORD-1562"/>
        <s v="ORD-1563"/>
        <s v="ORD-1564"/>
        <s v="ORD-1565"/>
        <s v="ORD-1566"/>
        <s v="ORD-1567"/>
        <s v="ORD-1568"/>
        <s v="ORD-1569"/>
        <s v="ORD-1570"/>
        <s v="ORD-1571"/>
        <s v="ORD-1572"/>
        <s v="ORD-1573"/>
        <s v="ORD-1574"/>
        <s v="ORD-1575"/>
        <s v="ORD-1576"/>
        <s v="ORD-1577"/>
        <s v="ORD-1578"/>
        <s v="ORD-1579"/>
        <s v="ORD-1580"/>
        <s v="ORD-1581"/>
        <s v="ORD-1582"/>
        <s v="ORD-1583"/>
        <s v="ORD-1584"/>
        <s v="ORD-1585"/>
        <s v="ORD-1586"/>
        <s v="ORD-1587"/>
        <s v="ORD-1588"/>
        <s v="ORD-1589"/>
        <s v="ORD-1590"/>
        <s v="ORD-1591"/>
        <s v="ORD-1592"/>
        <s v="ORD-1593"/>
        <s v="ORD-1594"/>
        <s v="ORD-1595"/>
        <s v="ORD-1596"/>
        <s v="ORD-1597"/>
        <s v="ORD-1598"/>
        <s v="ORD-1599"/>
        <s v="ORD-1600"/>
        <s v="ORD-1601"/>
        <s v="ORD-1602"/>
        <s v="ORD-1603"/>
        <s v="ORD-1604"/>
        <s v="ORD-1605"/>
        <s v="ORD-1606"/>
        <s v="ORD-1607"/>
        <s v="ORD-1608"/>
        <s v="ORD-1609"/>
        <s v="ORD-1610"/>
        <s v="ORD-1611"/>
        <s v="ORD-1612"/>
        <s v="ORD-1613"/>
        <s v="ORD-1614"/>
        <s v="ORD-1615"/>
        <s v="ORD-1616"/>
        <s v="ORD-1617"/>
        <s v="ORD-1618"/>
        <s v="ORD-1619"/>
        <s v="ORD-1620"/>
        <s v="ORD-1621"/>
        <s v="ORD-1622"/>
        <s v="ORD-1623"/>
        <s v="ORD-1624"/>
        <s v="ORD-1625"/>
        <s v="ORD-1626"/>
        <s v="ORD-1627"/>
        <s v="ORD-1628"/>
        <s v="ORD-1629"/>
        <s v="ORD-1630"/>
        <s v="ORD-1631"/>
        <s v="ORD-1632"/>
        <s v="ORD-1633"/>
        <s v="ORD-1634"/>
        <s v="ORD-1635"/>
        <s v="ORD-1636"/>
        <s v="ORD-1637"/>
        <s v="ORD-1638"/>
        <s v="ORD-1639"/>
        <s v="ORD-1640"/>
        <s v="ORD-1641"/>
        <s v="ORD-1642"/>
        <s v="ORD-1643"/>
        <s v="ORD-1644"/>
        <s v="ORD-1645"/>
        <s v="ORD-1646"/>
        <s v="ORD-1647"/>
        <s v="ORD-1648"/>
        <s v="ORD-1649"/>
        <s v="ORD-1650"/>
        <s v="ORD-1651"/>
        <s v="ORD-1652"/>
        <s v="ORD-1653"/>
        <s v="ORD-1654"/>
        <s v="ORD-1655"/>
        <s v="ORD-1656"/>
        <s v="ORD-1657"/>
        <s v="ORD-1658"/>
        <s v="ORD-1659"/>
        <s v="ORD-1660"/>
        <s v="ORD-1661"/>
        <s v="ORD-1662"/>
        <s v="ORD-1663"/>
        <s v="ORD-1664"/>
        <s v="ORD-1665"/>
        <s v="ORD-1666"/>
        <s v="ORD-1667"/>
        <s v="ORD-1668"/>
        <s v="ORD-1669"/>
        <s v="ORD-1670"/>
        <s v="ORD-1671"/>
        <s v="ORD-1672"/>
        <s v="ORD-1673"/>
        <s v="ORD-1674"/>
        <s v="ORD-1675"/>
        <s v="ORD-1676"/>
        <s v="ORD-1677"/>
        <s v="ORD-1678"/>
        <s v="ORD-1679"/>
        <s v="ORD-1680"/>
        <s v="ORD-1681"/>
        <s v="ORD-1682"/>
        <s v="ORD-1683"/>
        <s v="ORD-1684"/>
        <s v="ORD-1685"/>
        <s v="ORD-1686"/>
        <s v="ORD-1687"/>
        <s v="ORD-1688"/>
        <s v="ORD-1689"/>
        <s v="ORD-1690"/>
        <s v="ORD-1691"/>
        <s v="ORD-1692"/>
        <s v="ORD-1693"/>
        <s v="ORD-1694"/>
        <s v="ORD-1695"/>
        <s v="ORD-1696"/>
        <s v="ORD-1697"/>
        <s v="ORD-1698"/>
        <s v="ORD-1699"/>
        <s v="ORD-1700"/>
        <s v="ORD-1701"/>
        <s v="ORD-1702"/>
        <s v="ORD-1703"/>
        <s v="ORD-1704"/>
        <s v="ORD-1705"/>
        <s v="ORD-1706"/>
        <s v="ORD-1707"/>
        <s v="ORD-1708"/>
        <s v="ORD-1709"/>
        <s v="ORD-1710"/>
        <s v="ORD-1711"/>
        <s v="ORD-1712"/>
        <s v="ORD-1713"/>
        <s v="ORD-1714"/>
        <s v="ORD-1715"/>
        <s v="ORD-1716"/>
        <s v="ORD-1717"/>
        <s v="ORD-1718"/>
        <s v="ORD-1719"/>
        <s v="ORD-1720"/>
        <s v="ORD-1721"/>
        <s v="ORD-1722"/>
        <s v="ORD-1723"/>
        <s v="ORD-1724"/>
        <s v="ORD-1725"/>
        <s v="ORD-1726"/>
        <s v="ORD-1727"/>
        <s v="ORD-1728"/>
        <s v="ORD-1729"/>
        <s v="ORD-1730"/>
        <s v="ORD-1731"/>
        <s v="ORD-1732"/>
        <s v="ORD-1733"/>
        <s v="ORD-1734"/>
        <s v="ORD-1735"/>
        <s v="ORD-1736"/>
        <s v="ORD-1737"/>
        <s v="ORD-1738"/>
        <s v="ORD-1739"/>
        <s v="ORD-1740"/>
        <s v="ORD-1741"/>
        <s v="ORD-1742"/>
        <s v="ORD-1743"/>
        <s v="ORD-1744"/>
        <s v="ORD-1745"/>
        <s v="ORD-1746"/>
        <s v="ORD-1747"/>
        <s v="ORD-1748"/>
        <s v="ORD-1749"/>
        <s v="ORD-1750"/>
        <s v="ORD-1751"/>
        <s v="ORD-1752"/>
        <s v="ORD-1753"/>
        <s v="ORD-1754"/>
        <s v="ORD-1755"/>
        <s v="ORD-1756"/>
        <s v="ORD-1757"/>
        <s v="ORD-1758"/>
        <s v="ORD-1759"/>
        <s v="ORD-1760"/>
        <s v="ORD-1761"/>
        <s v="ORD-1762"/>
        <s v="ORD-1763"/>
        <s v="ORD-1764"/>
        <s v="ORD-1765"/>
        <s v="ORD-1766"/>
        <s v="ORD-1767"/>
        <s v="ORD-1768"/>
        <s v="ORD-1769"/>
        <s v="ORD-1770"/>
        <s v="ORD-1771"/>
        <s v="ORD-1772"/>
        <s v="ORD-1773"/>
        <s v="ORD-1774"/>
        <s v="ORD-1775"/>
        <s v="ORD-1776"/>
        <s v="ORD-1777"/>
        <s v="ORD-1778"/>
        <s v="ORD-1779"/>
        <s v="ORD-1780"/>
        <s v="ORD-1781"/>
        <s v="ORD-1782"/>
        <s v="ORD-1783"/>
        <s v="ORD-1784"/>
        <s v="ORD-1785"/>
        <s v="ORD-1786"/>
        <s v="ORD-1787"/>
        <s v="ORD-1788"/>
        <s v="ORD-1789"/>
        <s v="ORD-1790"/>
        <s v="ORD-1791"/>
        <s v="ORD-1792"/>
        <s v="ORD-1793"/>
        <s v="ORD-1794"/>
        <s v="ORD-1795"/>
        <s v="ORD-1796"/>
        <s v="ORD-1797"/>
        <s v="ORD-1798"/>
        <s v="ORD-1799"/>
        <s v="ORD-1800"/>
        <s v="ORD-1801"/>
        <s v="ORD-1802"/>
        <s v="ORD-1803"/>
        <s v="ORD-1804"/>
        <s v="ORD-1805"/>
        <s v="ORD-1806"/>
        <s v="ORD-1807"/>
        <s v="ORD-1808"/>
        <s v="ORD-1809"/>
        <s v="ORD-1810"/>
        <s v="ORD-1811"/>
        <s v="ORD-1812"/>
        <s v="ORD-1813"/>
        <s v="ORD-1814"/>
        <s v="ORD-1815"/>
        <s v="ORD-1816"/>
        <s v="ORD-1817"/>
        <s v="ORD-1818"/>
        <s v="ORD-1819"/>
        <s v="ORD-1820"/>
        <s v="ORD-1821"/>
        <s v="ORD-1822"/>
        <s v="ORD-1823"/>
        <s v="ORD-1824"/>
        <s v="ORD-1825"/>
        <s v="ORD-1826"/>
        <s v="ORD-1827"/>
        <s v="ORD-1828"/>
        <s v="ORD-1829"/>
        <s v="ORD-1830"/>
        <s v="ORD-1831"/>
        <s v="ORD-1832"/>
        <s v="ORD-1833"/>
        <s v="ORD-1834"/>
        <s v="ORD-1835"/>
        <s v="ORD-1836"/>
        <s v="ORD-1837"/>
        <s v="ORD-1838"/>
        <s v="ORD-1839"/>
        <s v="ORD-1840"/>
        <s v="ORD-1841"/>
        <s v="ORD-1842"/>
        <s v="ORD-1843"/>
        <s v="ORD-1844"/>
        <s v="ORD-1845"/>
        <s v="ORD-1846"/>
        <s v="ORD-1847"/>
        <s v="ORD-1848"/>
        <s v="ORD-1849"/>
        <s v="ORD-1850"/>
        <s v="ORD-1851"/>
        <s v="ORD-1852"/>
        <s v="ORD-1853"/>
        <s v="ORD-1854"/>
        <s v="ORD-1855"/>
        <s v="ORD-1856"/>
        <s v="ORD-1857"/>
        <s v="ORD-1858"/>
        <s v="ORD-1859"/>
        <s v="ORD-1860"/>
        <s v="ORD-1861"/>
        <s v="ORD-1862"/>
        <s v="ORD-1863"/>
        <s v="ORD-1864"/>
        <s v="ORD-1865"/>
        <s v="ORD-1866"/>
        <s v="ORD-1867"/>
        <s v="ORD-1868"/>
        <s v="ORD-1869"/>
        <s v="ORD-1870"/>
        <s v="ORD-1871"/>
        <s v="ORD-1872"/>
        <s v="ORD-1873"/>
        <s v="ORD-1874"/>
        <s v="ORD-1875"/>
        <s v="ORD-1876"/>
        <s v="ORD-1877"/>
        <s v="ORD-1878"/>
        <s v="ORD-1879"/>
        <s v="ORD-1880"/>
        <s v="ORD-1881"/>
        <s v="ORD-1882"/>
        <s v="ORD-1883"/>
        <s v="ORD-1884"/>
        <s v="ORD-1885"/>
        <s v="ORD-1886"/>
        <s v="ORD-1887"/>
        <s v="ORD-1888"/>
        <s v="ORD-1889"/>
        <s v="ORD-1890"/>
        <s v="ORD-1891"/>
        <s v="ORD-1892"/>
        <s v="ORD-1893"/>
        <s v="ORD-1894"/>
        <s v="ORD-1895"/>
        <s v="ORD-1896"/>
        <s v="ORD-1897"/>
        <s v="ORD-1898"/>
        <s v="ORD-1899"/>
        <s v="ORD-1900"/>
        <s v="ORD-1901"/>
        <s v="ORD-1902"/>
        <s v="ORD-1903"/>
        <s v="ORD-1904"/>
        <s v="ORD-1905"/>
        <s v="ORD-1906"/>
        <s v="ORD-1907"/>
        <s v="ORD-1908"/>
        <s v="ORD-1909"/>
        <s v="ORD-1910"/>
        <s v="ORD-1911"/>
        <s v="ORD-1912"/>
        <s v="ORD-1913"/>
        <s v="ORD-1914"/>
        <s v="ORD-1915"/>
        <s v="ORD-1916"/>
        <s v="ORD-1917"/>
        <s v="ORD-1918"/>
        <s v="ORD-1919"/>
        <s v="ORD-1920"/>
        <s v="ORD-1921"/>
        <s v="ORD-1922"/>
        <s v="ORD-1923"/>
        <s v="ORD-1924"/>
        <s v="ORD-1925"/>
        <s v="ORD-1926"/>
        <s v="ORD-1927"/>
        <s v="ORD-1928"/>
        <s v="ORD-1929"/>
        <s v="ORD-1930"/>
        <s v="ORD-1931"/>
        <s v="ORD-1932"/>
        <s v="ORD-1933"/>
        <s v="ORD-1934"/>
        <s v="ORD-1935"/>
        <s v="ORD-1936"/>
        <s v="ORD-1937"/>
        <s v="ORD-1938"/>
        <s v="ORD-1939"/>
        <s v="ORD-1940"/>
        <s v="ORD-1941"/>
        <s v="ORD-1942"/>
        <s v="ORD-1943"/>
        <s v="ORD-1944"/>
        <s v="ORD-1945"/>
        <s v="ORD-1946"/>
        <s v="ORD-1947"/>
        <s v="ORD-1948"/>
        <s v="ORD-1949"/>
        <s v="ORD-1950"/>
        <s v="ORD-1951"/>
        <s v="ORD-1952"/>
        <s v="ORD-1953"/>
        <s v="ORD-1954"/>
        <s v="ORD-1955"/>
        <s v="ORD-1956"/>
        <s v="ORD-1957"/>
        <s v="ORD-1958"/>
        <s v="ORD-1959"/>
        <s v="ORD-1960"/>
        <s v="ORD-1961"/>
        <s v="ORD-1962"/>
        <s v="ORD-1963"/>
        <s v="ORD-1964"/>
        <s v="ORD-1965"/>
        <s v="ORD-1966"/>
        <s v="ORD-1967"/>
        <s v="ORD-1968"/>
        <s v="ORD-1969"/>
        <s v="ORD-1970"/>
        <s v="ORD-1971"/>
        <s v="ORD-1972"/>
        <s v="ORD-1973"/>
        <s v="ORD-1974"/>
        <s v="ORD-1975"/>
        <s v="ORD-1976"/>
        <s v="ORD-1977"/>
        <s v="ORD-1978"/>
        <s v="ORD-1979"/>
        <s v="ORD-1980"/>
        <s v="ORD-1981"/>
        <s v="ORD-1982"/>
        <s v="ORD-1983"/>
        <s v="ORD-1984"/>
        <s v="ORD-1985"/>
        <s v="ORD-1986"/>
        <s v="ORD-1987"/>
        <s v="ORD-1988"/>
        <s v="ORD-1989"/>
        <s v="ORD-1990"/>
        <s v="ORD-1991"/>
        <s v="ORD-1992"/>
        <s v="ORD-1993"/>
        <s v="ORD-1994"/>
        <s v="ORD-1995"/>
        <s v="ORD-1996"/>
        <s v="ORD-1997"/>
        <s v="ORD-1998"/>
        <s v="ORD-1999"/>
      </sharedItems>
    </cacheField>
    <cacheField name="Customer Segment" numFmtId="0">
      <sharedItems count="4">
        <s v="Corporate"/>
        <s v="Small Business"/>
        <s v="Consumer"/>
        <s v="Home Office"/>
      </sharedItems>
    </cacheField>
    <cacheField name="Region" numFmtId="0">
      <sharedItems count="5">
        <s v="North"/>
        <s v="East"/>
        <s v="Central"/>
        <s v="South"/>
        <s v="West"/>
      </sharedItems>
    </cacheField>
    <cacheField name="Category" numFmtId="0">
      <sharedItems count="4">
        <s v="Office Supplies"/>
        <s v="Clothing"/>
        <s v="Electronics"/>
        <s v="Furniture"/>
      </sharedItems>
    </cacheField>
    <cacheField name="Product" numFmtId="0">
      <sharedItems count="20">
        <s v="Binder"/>
        <s v="T-shirt"/>
        <s v="Hat"/>
        <s v="Jeans"/>
        <s v="Monitor"/>
        <s v="Jacket"/>
        <s v="Headphones"/>
        <s v="Envelopes"/>
        <s v="Laptop"/>
        <s v="Bookshelf"/>
        <s v="Chair"/>
        <s v="Smartphone"/>
        <s v="Desk"/>
        <s v="Paper"/>
        <s v="Lamp"/>
        <s v="Sofa"/>
        <s v="Sneakers"/>
        <s v="Tablet"/>
        <s v="Stapler"/>
        <s v="Pens"/>
      </sharedItems>
    </cacheField>
    <cacheField name="Unit Price" numFmtId="0">
      <sharedItems containsSemiMixedTypes="0" containsString="0" containsNumber="1" minValue="10.71" maxValue="499.37" count="987">
        <n v="275.81"/>
        <n v="50.420000000000002"/>
        <n v="84.019999999999996"/>
        <n v="71.5"/>
        <n v="80.469999999999999"/>
        <n v="61.670000000000002"/>
        <n v="130.31999999999999"/>
        <n v="470.31999999999999"/>
        <n v="270.58999999999997"/>
        <n v="396.67000000000002"/>
        <n v="14.529999999999999"/>
        <n v="257.07999999999998"/>
        <n v="368.94999999999999"/>
        <n v="478.56999999999999"/>
        <n v="299.01999999999998"/>
        <n v="189.87"/>
        <n v="243.52000000000001"/>
        <n v="379.50999999999999"/>
        <n v="231.31"/>
        <n v="33.079999999999998"/>
        <n v="190.58000000000001"/>
        <n v="72.969999999999999"/>
        <n v="72.75"/>
        <n v="149.56"/>
        <n v="182.25"/>
        <n v="237.53999999999999"/>
        <n v="181.44999999999999"/>
        <n v="460.06"/>
        <n v="144.99000000000001"/>
        <n v="428.29000000000002"/>
        <n v="468.20999999999998"/>
        <n v="315.11000000000001"/>
        <n v="279.81"/>
        <n v="113.56"/>
        <n v="285.61000000000001"/>
        <n v="299.87"/>
        <n v="31.059999999999999"/>
        <n v="427.50999999999999"/>
        <n v="135.5"/>
        <n v="100.8"/>
        <n v="364.98000000000002"/>
        <n v="269.80000000000001"/>
        <n v="55.530000000000001"/>
        <n v="17.539999999999999"/>
        <n v="287.63999999999999"/>
        <n v="78.969999999999999"/>
        <n v="217.55000000000001"/>
        <n v="493.36000000000001"/>
        <n v="423.02999999999997"/>
        <n v="57.880000000000003"/>
        <n v="391.56"/>
        <n v="443.02999999999997"/>
        <n v="342.82999999999998"/>
        <n v="64.909999999999997"/>
        <n v="399.63"/>
        <n v="20.100000000000001"/>
        <n v="372.00999999999999"/>
        <n v="318.13999999999999"/>
        <n v="39.020000000000003"/>
        <n v="305.69999999999999"/>
        <n v="79.219999999999999"/>
        <n v="277.01999999999998"/>
        <n v="479.48000000000002"/>
        <n v="305.51999999999998"/>
        <n v="451.24000000000001"/>
        <n v="222.16"/>
        <n v="367.77999999999997"/>
        <n v="388.00999999999999"/>
        <n v="196.69"/>
        <n v="92.590000000000003"/>
        <n v="131.72999999999999"/>
        <n v="69.840000000000003"/>
        <n v="382.51999999999998"/>
        <n v="310.68000000000001"/>
        <n v="210.81999999999999"/>
        <n v="297.19"/>
        <n v="49.229999999999997"/>
        <n v="53.630000000000003"/>
        <n v="433.86000000000001"/>
        <n v="480.48000000000002"/>
        <n v="499.35000000000002"/>
        <n v="60.689999999999998"/>
        <n v="142.18000000000001"/>
        <n v="217.13999999999999"/>
        <n v="26.960000000000001"/>
        <n v="282.13"/>
        <n v="483.55000000000001"/>
        <n v="428.55000000000001"/>
        <n v="290.80000000000001"/>
        <n v="444.06"/>
        <n v="41.420000000000002"/>
        <n v="379.47000000000003"/>
        <n v="219.30000000000001"/>
        <n v="390.25999999999999"/>
        <n v="395.13"/>
        <n v="378.89999999999998"/>
        <n v="144.40000000000001"/>
        <n v="190.65000000000001"/>
        <n v="404.16000000000003"/>
        <n v="350.60000000000002"/>
        <n v="137.24000000000001"/>
        <n v="404.69"/>
        <n v="147.66"/>
        <n v="177.38999999999999"/>
        <n v="202.94"/>
        <n v="120.66"/>
        <n v="289.24000000000001"/>
        <n v="279.75999999999999"/>
        <n v="47.619999999999997"/>
        <n v="67.879999999999995"/>
        <n v="411.81"/>
        <n v="98.790000000000006"/>
        <n v="272.60000000000002"/>
        <n v="252.44999999999999"/>
        <n v="67.359999999999999"/>
        <n v="196.34"/>
        <n v="353.42000000000002"/>
        <n v="371.79000000000002"/>
        <n v="385.99000000000001"/>
        <n v="204.22"/>
        <n v="199.25999999999999"/>
        <n v="273.87"/>
        <n v="80.920000000000002"/>
        <n v="294.56"/>
        <n v="46.619999999999997"/>
        <n v="444.66000000000003"/>
        <n v="178"/>
        <n v="408.75999999999999"/>
        <n v="81.5"/>
        <n v="22.539999999999999"/>
        <n v="268.33999999999997"/>
        <n v="462.77999999999997"/>
        <n v="37.659999999999997"/>
        <n v="194.97999999999999"/>
        <n v="146.25999999999999"/>
        <n v="265.86000000000001"/>
        <n v="227.78"/>
        <n v="42.469999999999999"/>
        <n v="179.06"/>
        <n v="455.64999999999998"/>
        <n v="188.09"/>
        <n v="66.579999999999998"/>
        <n v="231.62"/>
        <n v="80.620000000000005"/>
        <n v="469.13"/>
        <n v="182.16999999999999"/>
        <n v="186.58000000000001"/>
        <n v="26.809999999999999"/>
        <n v="152.02000000000001"/>
        <n v="316.77999999999997"/>
        <n v="211.91999999999999"/>
        <n v="145.11000000000001"/>
        <n v="170.53"/>
        <n v="39.43"/>
        <n v="403.81999999999999"/>
        <n v="495.87"/>
        <n v="162.40000000000001"/>
        <n v="44.920000000000002"/>
        <n v="438.31"/>
        <n v="257.44999999999999"/>
        <n v="199.69"/>
        <n v="444.13999999999999"/>
        <n v="337.88"/>
        <n v="346.25"/>
        <n v="371.48000000000002"/>
        <n v="38.950000000000003"/>
        <n v="287.81999999999999"/>
        <n v="278.44999999999999"/>
        <n v="21.91"/>
        <n v="287.88"/>
        <n v="127.81999999999999"/>
        <n v="357.20999999999998"/>
        <n v="498.48000000000002"/>
        <n v="137.31"/>
        <n v="359.89999999999998"/>
        <n v="446.41000000000003"/>
        <n v="68.579999999999998"/>
        <n v="275.63999999999999"/>
        <n v="262.05000000000001"/>
        <n v="343.04000000000002"/>
        <n v="84"/>
        <n v="307.04000000000002"/>
        <n v="49.609999999999999"/>
        <n v="50.43"/>
        <n v="72.950000000000003"/>
        <n v="329.56"/>
        <n v="51.229999999999997"/>
        <n v="15.27"/>
        <n v="39.509999999999998"/>
        <n v="242.21000000000001"/>
        <n v="313.80000000000001"/>
        <n v="52.909999999999997"/>
        <n v="449.48000000000002"/>
        <n v="402.55000000000001"/>
        <n v="127.48999999999999"/>
        <n v="390.80000000000001"/>
        <n v="393.98000000000002"/>
        <n v="497.94999999999999"/>
        <n v="488.68000000000001"/>
        <n v="482.24000000000001"/>
        <n v="153.97999999999999"/>
        <n v="276.39999999999998"/>
        <n v="121.83"/>
        <n v="408.47000000000003"/>
        <n v="85.090000000000003"/>
        <n v="240.84"/>
        <n v="195.69999999999999"/>
        <n v="376.19"/>
        <n v="17.5"/>
        <n v="50.229999999999997"/>
        <n v="470.68000000000001"/>
        <n v="271.63999999999999"/>
        <n v="299.36000000000001"/>
        <n v="58.859999999999999"/>
        <n v="346.07999999999998"/>
        <n v="302.27999999999997"/>
        <n v="499.37"/>
        <n v="467.13"/>
        <n v="103.45"/>
        <n v="402.29000000000002"/>
        <n v="150.28"/>
        <n v="398.72000000000003"/>
        <n v="378.20999999999998"/>
        <n v="156.88"/>
        <n v="43.799999999999997"/>
        <n v="249.33000000000001"/>
        <n v="489.16000000000003"/>
        <n v="388.81999999999999"/>
        <n v="447.93000000000001"/>
        <n v="82.019999999999996"/>
        <n v="233.72999999999999"/>
        <n v="222.83000000000001"/>
        <n v="156.72999999999999"/>
        <n v="465.27999999999997"/>
        <n v="106.88"/>
        <n v="45.090000000000003"/>
        <n v="192.18000000000001"/>
        <n v="213.34999999999999"/>
        <n v="146.27000000000001"/>
        <n v="268.50999999999999"/>
        <n v="384.75999999999999"/>
        <n v="455.30000000000001"/>
        <n v="320.27999999999997"/>
        <n v="350.19999999999999"/>
        <n v="96.650000000000006"/>
        <n v="10.99"/>
        <n v="106.16"/>
        <n v="56.57"/>
        <n v="333.13999999999999"/>
        <n v="20.210000000000001"/>
        <n v="120.48"/>
        <n v="110.70999999999999"/>
        <n v="362.36000000000001"/>
        <n v="226.40000000000001"/>
        <n v="113.16"/>
        <n v="180.41999999999999"/>
        <n v="417.75999999999999"/>
        <n v="289.43000000000001"/>
        <n v="370.88999999999999"/>
        <n v="401.56"/>
        <n v="41.770000000000003"/>
        <n v="280.10000000000002"/>
        <n v="53.590000000000003"/>
        <n v="101.95"/>
        <n v="41.5"/>
        <n v="111.53"/>
        <n v="379.10000000000002"/>
        <n v="40.979999999999997"/>
        <n v="487.80000000000001"/>
        <n v="149.09999999999999"/>
        <n v="335.91000000000003"/>
        <n v="338.66000000000003"/>
        <n v="266.24000000000001"/>
        <n v="190.08000000000001"/>
        <n v="182.68000000000001"/>
        <n v="311.72000000000003"/>
        <n v="494.29000000000002"/>
        <n v="291.75"/>
        <n v="273.16000000000003"/>
        <n v="339.69"/>
        <n v="256.02999999999997"/>
        <n v="494.91000000000003"/>
        <n v="377.60000000000002"/>
        <n v="65.299999999999997"/>
        <n v="178.19"/>
        <n v="446.92000000000002"/>
        <n v="116.33"/>
        <n v="37.719999999999999"/>
        <n v="141.58000000000001"/>
        <n v="216.68000000000001"/>
        <n v="243.44"/>
        <n v="265.57999999999998"/>
        <n v="70.150000000000006"/>
        <n v="396.61000000000001"/>
        <n v="273.94999999999999"/>
        <n v="390.32999999999998"/>
        <n v="383.47000000000003"/>
        <n v="484.00999999999999"/>
        <n v="279.82999999999998"/>
        <n v="464.39999999999998"/>
        <n v="334.26999999999998"/>
        <n v="430.56999999999999"/>
        <n v="232.33000000000001"/>
        <n v="379.82999999999998"/>
        <n v="423.55000000000001"/>
        <n v="199.25"/>
        <n v="41.75"/>
        <n v="68.650000000000006"/>
        <n v="494.20999999999998"/>
        <n v="301.19"/>
        <n v="486.62"/>
        <n v="477.12"/>
        <n v="452.39999999999998"/>
        <n v="400.60000000000002"/>
        <n v="66.849999999999994"/>
        <n v="157.25"/>
        <n v="428.12"/>
        <n v="376.04000000000002"/>
        <n v="233.28"/>
        <n v="268.94"/>
        <n v="479.51999999999998"/>
        <n v="195.31999999999999"/>
        <n v="233.16999999999999"/>
        <n v="427.93000000000001"/>
        <n v="307.97000000000003"/>
        <n v="122.09999999999999"/>
        <n v="199.09"/>
        <n v="103.73"/>
        <n v="303.08999999999997"/>
        <n v="423.95999999999998"/>
        <n v="189.19"/>
        <n v="86.409999999999997"/>
        <n v="10.710000000000001"/>
        <n v="321.49000000000001"/>
        <n v="48.810000000000002"/>
        <n v="285.37"/>
        <n v="46.640000000000001"/>
        <n v="469.38999999999999"/>
        <n v="323.36000000000001"/>
        <n v="97.530000000000001"/>
        <n v="269.49000000000001"/>
        <n v="469.56999999999999"/>
        <n v="337.63"/>
        <n v="391.26999999999998"/>
        <n v="222.50999999999999"/>
        <n v="153.46000000000001"/>
        <n v="285.56"/>
        <n v="145.22999999999999"/>
        <n v="361.33999999999997"/>
        <n v="25.25"/>
        <n v="183.46000000000001"/>
        <n v="439.05000000000001"/>
        <n v="54.729999999999997"/>
        <n v="184.24000000000001"/>
        <n v="426.63"/>
        <n v="242.5"/>
        <n v="223.16"/>
        <n v="12.460000000000001"/>
        <n v="20.300000000000001"/>
        <n v="50.009999999999998"/>
        <n v="347.49000000000001"/>
        <n v="181.5"/>
        <n v="219.44"/>
        <n v="273.27999999999997"/>
        <n v="296.55000000000001"/>
        <n v="467.62"/>
        <n v="286.52999999999997"/>
        <n v="408.69"/>
        <n v="120.98999999999999"/>
        <n v="266.80000000000001"/>
        <n v="394.22000000000003"/>
        <n v="387.85000000000002"/>
        <n v="195.56999999999999"/>
        <n v="198.52000000000001"/>
        <n v="31.449999999999999"/>
        <n v="225.61000000000001"/>
        <n v="245.44"/>
        <n v="469.91000000000003"/>
        <n v="288.31"/>
        <n v="197.88999999999999"/>
        <n v="436.37"/>
        <n v="443.92000000000002"/>
        <n v="447.52999999999997"/>
        <n v="340.13"/>
        <n v="169.18000000000001"/>
        <n v="158.91"/>
        <n v="75.590000000000003"/>
        <n v="443.44"/>
        <n v="441.93000000000001"/>
        <n v="175.13999999999999"/>
        <n v="43.170000000000002"/>
        <n v="25.149999999999999"/>
        <n v="253.80000000000001"/>
        <n v="451.57999999999998"/>
        <n v="414.19"/>
        <n v="346.25999999999999"/>
        <n v="220.84"/>
        <n v="19.25"/>
        <n v="440.91000000000003"/>
        <n v="392.76999999999998"/>
        <n v="390.47000000000003"/>
        <n v="178.47"/>
        <n v="260.88"/>
        <n v="120.18000000000001"/>
        <n v="462.82999999999998"/>
        <n v="473.49000000000001"/>
        <n v="259.08999999999997"/>
        <n v="350.98000000000002"/>
        <n v="444.04000000000002"/>
        <n v="165.81"/>
        <n v="241.34999999999999"/>
        <n v="458.08999999999997"/>
        <n v="316.79000000000002"/>
        <n v="470.05000000000001"/>
        <n v="343.30000000000001"/>
        <n v="149.16"/>
        <n v="28.789999999999999"/>
        <n v="433.97000000000003"/>
        <n v="466.55000000000001"/>
        <n v="68.819999999999993"/>
        <n v="247.84999999999999"/>
        <n v="283.76999999999998"/>
        <n v="107.3"/>
        <n v="281.05000000000001"/>
        <n v="170.80000000000001"/>
        <n v="344.88"/>
        <n v="454"/>
        <n v="331.38999999999999"/>
        <n v="186.91999999999999"/>
        <n v="481.85000000000002"/>
        <n v="25.140000000000001"/>
        <n v="101.18000000000001"/>
        <n v="14.65"/>
        <n v="396.87"/>
        <n v="354.66000000000003"/>
        <n v="123.58"/>
        <n v="35.890000000000001"/>
        <n v="497.56999999999999"/>
        <n v="405.58999999999997"/>
        <n v="410.93000000000001"/>
        <n v="463.06"/>
        <n v="75.510000000000005"/>
        <n v="431.57999999999998"/>
        <n v="358.41000000000003"/>
        <n v="489.80000000000001"/>
        <n v="182.75999999999999"/>
        <n v="130.97999999999999"/>
        <n v="98.359999999999999"/>
        <n v="393.5"/>
        <n v="403.75"/>
        <n v="261.04000000000002"/>
        <n v="88.890000000000001"/>
        <n v="203.34"/>
        <n v="496.55000000000001"/>
        <n v="235.16"/>
        <n v="25.84"/>
        <n v="106.7"/>
        <n v="254.75"/>
        <n v="495.50999999999999"/>
        <n v="296.81"/>
        <n v="340.30000000000001"/>
        <n v="159.93000000000001"/>
        <n v="464.83999999999997"/>
        <n v="195.81"/>
        <n v="68.689999999999998"/>
        <n v="327.94999999999999"/>
        <n v="148.93000000000001"/>
        <n v="264.88999999999999"/>
        <n v="216.83000000000001"/>
        <n v="337.05000000000001"/>
        <n v="318.87"/>
        <n v="363.31"/>
        <n v="81.180000000000007"/>
        <n v="456.43000000000001"/>
        <n v="256.33999999999997"/>
        <n v="279.56999999999999"/>
        <n v="466.22000000000003"/>
        <n v="466.60000000000002"/>
        <n v="352.5"/>
        <n v="144.52000000000001"/>
        <n v="191.75999999999999"/>
        <n v="490.79000000000002"/>
        <n v="165.31"/>
        <n v="54.189999999999998"/>
        <n v="357.58999999999997"/>
        <n v="399.38"/>
        <n v="287.31"/>
        <n v="316.63999999999999"/>
        <n v="491.08999999999997"/>
        <n v="367.58999999999997"/>
        <n v="247.63"/>
        <n v="207.24000000000001"/>
        <n v="269.85000000000002"/>
        <n v="282.06999999999999"/>
        <n v="407.36000000000001"/>
        <n v="377.44999999999999"/>
        <n v="298.29000000000002"/>
        <n v="63.350000000000001"/>
        <n v="229.91"/>
        <n v="50.799999999999997"/>
        <n v="381.74000000000001"/>
        <n v="50.490000000000002"/>
        <n v="33.450000000000003"/>
        <n v="347.85000000000002"/>
        <n v="191.37"/>
        <n v="313.05000000000001"/>
        <n v="430.06999999999999"/>
        <n v="308.77999999999997"/>
        <n v="109.01000000000001"/>
        <n v="220.11000000000001"/>
        <n v="210.16"/>
        <n v="27.920000000000002"/>
        <n v="137.13"/>
        <n v="344.12"/>
        <n v="359.80000000000001"/>
        <n v="243.27000000000001"/>
        <n v="201.22"/>
        <n v="430.38999999999999"/>
        <n v="407.61000000000001"/>
        <n v="304.87"/>
        <n v="148.88"/>
        <n v="380.41000000000003"/>
        <n v="474.62"/>
        <n v="156.34"/>
        <n v="446.62"/>
        <n v="462.30000000000001"/>
        <n v="56.590000000000003"/>
        <n v="305.56"/>
        <n v="176.28"/>
        <n v="360.81"/>
        <n v="159.81"/>
        <n v="194.91"/>
        <n v="323.07999999999998"/>
        <n v="275.45999999999998"/>
        <n v="194.94999999999999"/>
        <n v="238.96000000000001"/>
        <n v="440.69"/>
        <n v="145.84"/>
        <n v="351.29000000000002"/>
        <n v="384.77999999999997"/>
        <n v="498.85000000000002"/>
        <n v="50.159999999999997"/>
        <n v="46.740000000000002"/>
        <n v="485.10000000000002"/>
        <n v="437.42000000000002"/>
        <n v="455.67000000000002"/>
        <n v="275"/>
        <n v="165.91999999999999"/>
        <n v="299.97000000000003"/>
        <n v="141.97999999999999"/>
        <n v="348.69999999999999"/>
        <n v="120.84999999999999"/>
        <n v="302.83999999999997"/>
        <n v="343.16000000000003"/>
        <n v="124.28"/>
        <n v="363.30000000000001"/>
        <n v="265.79000000000002"/>
        <n v="115.59"/>
        <n v="436.29000000000002"/>
        <n v="108.72"/>
        <n v="318.56999999999999"/>
        <n v="362.33999999999997"/>
        <n v="175.31"/>
        <n v="316.72000000000003"/>
        <n v="336.06999999999999"/>
        <n v="297.66000000000003"/>
        <n v="220.00999999999999"/>
        <n v="188.66999999999999"/>
        <n v="317.47000000000003"/>
        <n v="159.22"/>
        <n v="88.719999999999999"/>
        <n v="203.41"/>
        <n v="39.710000000000001"/>
        <n v="458.44"/>
        <n v="409.75999999999999"/>
        <n v="321.75999999999999"/>
        <n v="496.32999999999998"/>
        <n v="69.310000000000002"/>
        <n v="240.86000000000001"/>
        <n v="230.36000000000001"/>
        <n v="162.34"/>
        <n v="306.06"/>
        <n v="437.92000000000002"/>
        <n v="135.38"/>
        <n v="145.21000000000001"/>
        <n v="24.710000000000001"/>
        <n v="100.44"/>
        <n v="423.72000000000003"/>
        <n v="28.390000000000001"/>
        <n v="401.13"/>
        <n v="241.13999999999999"/>
        <n v="363.06"/>
        <n v="66.310000000000002"/>
        <n v="354.73000000000002"/>
        <n v="394.62"/>
        <n v="493.94"/>
        <n v="377.72000000000003"/>
        <n v="351.30000000000001"/>
        <n v="144.46000000000001"/>
        <n v="106.28"/>
        <n v="480.18000000000001"/>
        <n v="490.99000000000001"/>
        <n v="116.23999999999999"/>
        <n v="210.63"/>
        <n v="352.97000000000003"/>
        <n v="397.67000000000002"/>
        <n v="60.850000000000001"/>
        <n v="360.93000000000001"/>
        <n v="106.64"/>
        <n v="82.219999999999999"/>
        <n v="195.77000000000001"/>
        <n v="129.44999999999999"/>
        <n v="309.27999999999997"/>
        <n v="119.7"/>
        <n v="450.31999999999999"/>
        <n v="333.75999999999999"/>
        <n v="483.77999999999997"/>
        <n v="169.93000000000001"/>
        <n v="12.859999999999999"/>
        <n v="473.27999999999997"/>
        <n v="89.579999999999998"/>
        <n v="339.88"/>
        <n v="138.53"/>
        <n v="74.640000000000001"/>
        <n v="194.69999999999999"/>
        <n v="141.72999999999999"/>
        <n v="309.64999999999998"/>
        <n v="223.5"/>
        <n v="234.5"/>
        <n v="490.61000000000001"/>
        <n v="268.92000000000002"/>
        <n v="485.39999999999998"/>
        <n v="264.38"/>
        <n v="452.86000000000001"/>
        <n v="137.36000000000001"/>
        <n v="154.28"/>
        <n v="200.47999999999999"/>
        <n v="275.25"/>
        <n v="48.909999999999997"/>
        <n v="480.05000000000001"/>
        <n v="210.90000000000001"/>
        <n v="179.65000000000001"/>
        <n v="189.68000000000001"/>
        <n v="11.210000000000001"/>
        <n v="190.87"/>
        <n v="434.18000000000001"/>
        <n v="306.79000000000002"/>
        <n v="327.60000000000002"/>
        <n v="74.760000000000005"/>
        <n v="283.60000000000002"/>
        <n v="245.27000000000001"/>
        <n v="176.59999999999999"/>
        <n v="109.45"/>
        <n v="418.13"/>
        <n v="296.19999999999999"/>
        <n v="358.57999999999998"/>
        <n v="265.12"/>
        <n v="322.33999999999997"/>
        <n v="17.100000000000001"/>
        <n v="45.719999999999999"/>
        <n v="104.5"/>
        <n v="92.540000000000006"/>
        <n v="292.13999999999999"/>
        <n v="308.54000000000002"/>
        <n v="22.879999999999999"/>
        <n v="382.13999999999999"/>
        <n v="399.69999999999999"/>
        <n v="65.340000000000003"/>
        <n v="338.68000000000001"/>
        <n v="374.33999999999997"/>
        <n v="87.170000000000002"/>
        <n v="458.63999999999999"/>
        <n v="116.55"/>
        <n v="206.16999999999999"/>
        <n v="436.72000000000003"/>
        <n v="153.80000000000001"/>
        <n v="191.46000000000001"/>
        <n v="76.200000000000003"/>
        <n v="105.05"/>
        <n v="164.31999999999999"/>
        <n v="377.94"/>
        <n v="376.97000000000003"/>
        <n v="180.31999999999999"/>
        <n v="80.140000000000001"/>
        <n v="461.04000000000002"/>
        <n v="331.99000000000001"/>
        <n v="201"/>
        <n v="386.92000000000002"/>
        <n v="254.63"/>
        <n v="346.72000000000003"/>
        <n v="22.690000000000001"/>
        <n v="322.31999999999999"/>
        <n v="241.06999999999999"/>
        <n v="478.44"/>
        <n v="385.17000000000002"/>
        <n v="437.13999999999999"/>
        <n v="235.62"/>
        <n v="95.340000000000003"/>
        <n v="108.19"/>
        <n v="161.06"/>
        <n v="201.16999999999999"/>
        <n v="193.63999999999999"/>
        <n v="182.97"/>
        <n v="122.5"/>
        <n v="276.06"/>
        <n v="385.95999999999998"/>
        <n v="228.27000000000001"/>
        <n v="185.90000000000001"/>
        <n v="218.69999999999999"/>
        <n v="360.75"/>
        <n v="131.94999999999999"/>
        <n v="153.55000000000001"/>
        <n v="408.97000000000003"/>
        <n v="93.400000000000006"/>
        <n v="38.350000000000001"/>
        <n v="446.18000000000001"/>
        <n v="36.359999999999999"/>
        <n v="158.81"/>
        <n v="378.77999999999997"/>
        <n v="227.37"/>
        <n v="169.30000000000001"/>
        <n v="195.19"/>
        <n v="287.06"/>
        <n v="478.26999999999998"/>
        <n v="168.34999999999999"/>
        <n v="73.540000000000006"/>
        <n v="62.310000000000002"/>
        <n v="223"/>
        <n v="481.13"/>
        <n v="110.79000000000001"/>
        <n v="148.66999999999999"/>
        <n v="96.019999999999996"/>
        <n v="77.700000000000003"/>
        <n v="429.87"/>
        <n v="228.87"/>
        <n v="40.340000000000003"/>
        <n v="470.61000000000001"/>
        <n v="312.54000000000002"/>
        <n v="15.050000000000001"/>
        <n v="446.22000000000003"/>
        <n v="161.5"/>
        <n v="127.78"/>
        <n v="223.36000000000001"/>
        <n v="247.19999999999999"/>
        <n v="294.79000000000002"/>
        <n v="476.10000000000002"/>
        <n v="258.81999999999999"/>
        <n v="440.25999999999999"/>
        <n v="144.34"/>
        <n v="71.939999999999998"/>
        <n v="418.57999999999998"/>
        <n v="164.94"/>
        <n v="447.57999999999998"/>
        <n v="277.63"/>
        <n v="311.88999999999999"/>
        <n v="277.81"/>
        <n v="380.38999999999999"/>
        <n v="71.510000000000005"/>
        <n v="234.88999999999999"/>
        <n v="256.22000000000003"/>
        <n v="383.30000000000001"/>
        <n v="125.18000000000001"/>
        <n v="165.09999999999999"/>
        <n v="356.38"/>
        <n v="472.05000000000001"/>
        <n v="452.72000000000003"/>
        <n v="478.50999999999999"/>
        <n v="18.469999999999999"/>
        <n v="450.41000000000003"/>
        <n v="66.079999999999998"/>
        <n v="473.82999999999998"/>
        <n v="70.390000000000001"/>
        <n v="423.08999999999997"/>
        <n v="258.79000000000002"/>
        <n v="294.87"/>
        <n v="397.06"/>
        <n v="326.39999999999998"/>
        <n v="172.5"/>
        <n v="409"/>
        <n v="414.44999999999999"/>
        <n v="235.05000000000001"/>
        <n v="206.69"/>
        <n v="337.06999999999999"/>
        <n v="98.230000000000004"/>
        <n v="326.22000000000003"/>
        <n v="366.04000000000002"/>
        <n v="397.16000000000003"/>
        <n v="364.75999999999999"/>
        <n v="383.64999999999998"/>
        <n v="48.520000000000003"/>
        <n v="356.06"/>
        <n v="170.93000000000001"/>
        <n v="80.849999999999994"/>
        <n v="413.29000000000002"/>
        <n v="178.03999999999999"/>
        <n v="157.5"/>
        <n v="180.58000000000001"/>
        <n v="163.69999999999999"/>
        <n v="381.87"/>
        <n v="314.44999999999999"/>
        <n v="132.61000000000001"/>
        <n v="81.959999999999994"/>
        <n v="331.37"/>
        <n v="111.37"/>
        <n v="444.51999999999998"/>
        <n v="262.06"/>
        <n v="338.88"/>
        <n v="96.040000000000006"/>
        <n v="170.86000000000001"/>
        <n v="471.69"/>
        <n v="491.92000000000002"/>
        <n v="180.88999999999999"/>
        <n v="140.97999999999999"/>
        <n v="433.79000000000002"/>
        <n v="249.84"/>
        <n v="119.75"/>
        <n v="64.129999999999995"/>
        <n v="325.91000000000003"/>
        <n v="51.700000000000003"/>
        <n v="463.57999999999998"/>
        <n v="406.87"/>
        <n v="210.47"/>
        <n v="106.68000000000001"/>
        <n v="60.740000000000002"/>
        <n v="73.689999999999998"/>
        <n v="338.41000000000003"/>
        <n v="290.07999999999998"/>
        <n v="296.89999999999998"/>
        <n v="367.57999999999998"/>
        <n v="261.52999999999997"/>
        <n v="132.78"/>
        <n v="277.24000000000001"/>
        <n v="364.83999999999997"/>
        <n v="427.24000000000001"/>
        <n v="36.969999999999999"/>
        <n v="153.81999999999999"/>
        <n v="356.83999999999997"/>
        <n v="498.61000000000001"/>
        <n v="304.54000000000002"/>
        <n v="496.57999999999998"/>
        <n v="412"/>
        <n v="499.24000000000001"/>
        <n v="274.29000000000002"/>
        <n v="211.25"/>
        <n v="232.00999999999999"/>
        <n v="296.36000000000001"/>
        <n v="372.47000000000003"/>
        <n v="86.390000000000001"/>
        <n v="207.33000000000001"/>
        <n v="130.66999999999999"/>
        <n v="204.25999999999999"/>
        <n v="295.13"/>
        <n v="330.94999999999999"/>
        <n v="280.39999999999998"/>
        <n v="320.62"/>
        <n v="433.63"/>
        <n v="47.82"/>
        <n v="34.149999999999999"/>
        <n v="61.600000000000001"/>
        <n v="99.430000000000007"/>
        <n v="153.28999999999999"/>
        <n v="479.92000000000002"/>
        <n v="164.50999999999999"/>
        <n v="82.829999999999998"/>
        <n v="259.35000000000002"/>
        <n v="145.24000000000001"/>
        <n v="416.19"/>
        <n v="247.44"/>
        <n v="406.41000000000003"/>
        <n v="413.25999999999999"/>
        <n v="393.75999999999999"/>
        <n v="261.23000000000002"/>
        <n v="298.43000000000001"/>
        <n v="445.29000000000002"/>
        <n v="237.15000000000001"/>
        <n v="418.35000000000002"/>
        <n v="224.56"/>
        <n v="74.540000000000006"/>
        <n v="247.90000000000001"/>
        <n v="151.84"/>
        <n v="498.26999999999998"/>
        <n v="453.69"/>
        <n v="155.41999999999999"/>
        <n v="426.08999999999997"/>
        <n v="275.57999999999998"/>
        <n v="151.78999999999999"/>
        <n v="16.190000000000001"/>
        <n v="332.58999999999997"/>
        <n v="435.27999999999997"/>
        <n v="442.31"/>
        <n v="153.91"/>
        <n v="103.13"/>
        <n v="397.80000000000001"/>
        <n v="447.56"/>
        <n v="278.62"/>
        <n v="239.83000000000001"/>
        <n v="27.399999999999999"/>
        <n v="255.41999999999999"/>
        <n v="117.19"/>
        <n v="70.079999999999998"/>
        <n v="104.69"/>
        <n v="498.76999999999998"/>
        <n v="36.420000000000002"/>
        <n v="147.41999999999999"/>
        <n v="192.69"/>
        <n v="160.91"/>
        <n v="345.10000000000002"/>
        <n v="458.14999999999998"/>
        <n v="28.350000000000001"/>
        <n v="348.45999999999998"/>
        <n v="202.41999999999999"/>
        <n v="265.82999999999998"/>
        <n v="111.83"/>
        <n v="39.609999999999999"/>
        <n v="424.94"/>
        <n v="30.010000000000002"/>
        <n v="423.36000000000001"/>
        <n v="341.38999999999999"/>
        <n v="37.109999999999999"/>
        <n v="340.97000000000003"/>
        <n v="117.14"/>
        <n v="116.45"/>
        <n v="140.90000000000001"/>
        <n v="169.19999999999999"/>
        <n v="262.49000000000001"/>
        <n v="469.26999999999998"/>
        <n v="394.97000000000003"/>
        <n v="59.520000000000003"/>
        <n v="146.75999999999999"/>
        <n v="439.42000000000002"/>
        <n v="495.04000000000002"/>
        <n v="71.060000000000002"/>
        <n v="31.620000000000001"/>
        <n v="82.450000000000003"/>
        <n v="110.75"/>
        <n v="158.69"/>
        <n v="23.52"/>
        <n v="381.00999999999999"/>
        <n v="29.16"/>
        <n v="142.43000000000001"/>
        <n v="119.92"/>
        <n v="340.18000000000001"/>
        <n v="341.31999999999999"/>
        <n v="375.06"/>
        <n v="492.05000000000001"/>
        <n v="440.54000000000002"/>
        <n v="437.69999999999999"/>
        <n v="75.049999999999997"/>
        <n v="461.54000000000002"/>
        <n v="249.97"/>
        <n v="291.86000000000001"/>
        <n v="301.18000000000001"/>
        <n v="177.59999999999999"/>
        <n v="160.90000000000001"/>
        <n v="105.37"/>
        <n v="226.08000000000001"/>
        <n v="430.24000000000001"/>
        <n v="202.40000000000001"/>
        <n v="112.97"/>
        <n v="464.38"/>
        <n v="429.06"/>
        <n v="279.06"/>
        <n v="209.59999999999999"/>
        <n v="355.14999999999998"/>
        <n v="94.849999999999994"/>
        <n v="434.48000000000002"/>
        <n v="404.50999999999999"/>
        <n v="39.530000000000001"/>
        <n v="139.47999999999999"/>
        <n v="390.82999999999998"/>
        <n v="187.15000000000001"/>
        <n v="409.05000000000001"/>
        <n v="425.38"/>
        <n v="392.48000000000002"/>
        <n v="103.27"/>
        <n v="456.05000000000001"/>
        <n v="349.55000000000001"/>
        <n v="17.59"/>
        <n v="103.66"/>
        <n v="79.209999999999994"/>
        <n v="265.24000000000001"/>
        <n v="409.58999999999997"/>
        <n v="416.41000000000003"/>
        <n v="140.81999999999999"/>
        <n v="158.06999999999999"/>
        <n v="139.78"/>
        <n v="104.31999999999999"/>
      </sharedItems>
    </cacheField>
    <cacheField name="Quantity" numFmtId="0">
      <sharedItems containsSemiMixedTypes="0" containsString="0" containsNumber="1" containsInteger="1" minValue="1" maxValue="15" count="15">
        <n v="2"/>
        <n v="9"/>
        <n v="5"/>
        <n v="4"/>
        <n v="7"/>
        <n v="12"/>
        <n v="8"/>
        <n v="6"/>
        <n v="15"/>
        <n v="11"/>
        <n v="10"/>
        <n v="1"/>
        <n v="14"/>
        <n v="3"/>
        <n v="13"/>
      </sharedItems>
    </cacheField>
    <cacheField name="Total Sales" numFmtId="0">
      <sharedItems containsSemiMixedTypes="0" containsString="0" containsNumber="1" minValue="11.21" maxValue="7423.65" count="998">
        <n v="551.62"/>
        <n v="453.77999999999997"/>
        <n v="420.10000000000002"/>
        <n v="286"/>
        <n v="724.23000000000002"/>
        <n v="431.69"/>
        <n v="260.63999999999999"/>
        <n v="5643.8400000000001"/>
        <n v="2164.7199999999998"/>
        <n v="4760.04"/>
        <n v="29.059999999999999"/>
        <n v="1542.48"/>
        <n v="2213.6999999999998"/>
        <n v="2871.4200000000001"/>
        <n v="1495.0999999999999"/>
        <n v="2848.0500000000002"/>
        <n v="2678.7199999999998"/>
        <n v="759.01999999999998"/>
        <n v="1850.48"/>
        <n v="297.72000000000003"/>
        <n v="762.32000000000005"/>
        <n v="510.79000000000002"/>
        <n v="727.5"/>
        <n v="149.56"/>
        <n v="1458"/>
        <n v="237.53999999999999"/>
        <n v="1088.7"/>
        <n v="5060.6599999999999"/>
        <n v="289.98000000000002"/>
        <n v="4282.8999999999996"/>
        <n v="3277.4699999999998"/>
        <n v="2835.9899999999998"/>
        <n v="559.62"/>
        <n v="1362.72"/>
        <n v="1713.6600000000001"/>
        <n v="3298.5700000000002"/>
        <n v="465.89999999999998"/>
        <n v="3420.0799999999999"/>
        <n v="271"/>
        <n v="705.60000000000002"/>
        <n v="4379.7600000000002"/>
        <n v="1349"/>
        <n v="499.76999999999998"/>
        <n v="35.079999999999998"/>
        <n v="575.27999999999997"/>
        <n v="78.969999999999999"/>
        <n v="870.20000000000005"/>
        <n v="6907.04"/>
        <n v="6345.4499999999998"/>
        <n v="636.67999999999995"/>
        <n v="1174.6800000000001"/>
        <n v="4430.3000000000002"/>
        <n v="1371.3199999999999"/>
        <n v="908.74000000000001"/>
        <n v="3596.6700000000001"/>
        <n v="120.59999999999999"/>
        <n v="4836.1300000000001"/>
        <n v="4772.1000000000004"/>
        <n v="156.08000000000001"/>
        <n v="4585.5"/>
        <n v="554.53999999999996"/>
        <n v="1662.1199999999999"/>
        <n v="4315.3199999999997"/>
        <n v="2444.1599999999999"/>
        <n v="5866.1199999999999"/>
        <n v="666.48000000000002"/>
        <n v="735.55999999999995"/>
        <n v="3880.0999999999999"/>
        <n v="2753.6599999999999"/>
        <n v="1388.8499999999999"/>
        <n v="131.72999999999999"/>
        <n v="349.19999999999999"/>
        <n v="1147.5599999999999"/>
        <n v="2174.7600000000002"/>
        <n v="421.63999999999999"/>
        <n v="1485.95"/>
        <n v="344.61000000000001"/>
        <n v="482.67000000000002"/>
        <n v="4338.6000000000004"/>
        <n v="2402.4000000000001"/>
        <n v="6491.5500000000002"/>
        <n v="728.27999999999997"/>
        <n v="995.25999999999999"/>
        <n v="217.13999999999999"/>
        <n v="323.51999999999998"/>
        <n v="846.38999999999999"/>
        <n v="7253.25"/>
        <n v="1285.6500000000001"/>
        <n v="3780.4000000000001"/>
        <n v="6660.8999999999996"/>
        <n v="579.88"/>
        <n v="4553.6400000000003"/>
        <n v="3289.5"/>
        <n v="5463.6400000000003"/>
        <n v="3951.3000000000002"/>
        <n v="4546.8000000000002"/>
        <n v="1444"/>
        <n v="381.30000000000001"/>
        <n v="2829.1199999999999"/>
        <n v="3506"/>
        <n v="1921.3599999999999"/>
        <n v="2023.45"/>
        <n v="1919.5799999999999"/>
        <n v="177.38999999999999"/>
        <n v="811.75999999999999"/>
        <n v="603.29999999999995"/>
        <n v="2517.8400000000001"/>
        <n v="666.67999999999995"/>
        <n v="882.44000000000005"/>
        <n v="3294.48"/>
        <n v="889.11000000000001"/>
        <n v="1908.2"/>
        <n v="2019.5999999999999"/>
        <n v="134.72"/>
        <n v="785.36000000000001"/>
        <n v="1060.26"/>
        <n v="555.29999999999995"/>
        <n v="1487.1600000000001"/>
        <n v="4631.8800000000001"/>
        <n v="408.44"/>
        <n v="996.29999999999995"/>
        <n v="2738.6999999999998"/>
        <n v="485.51999999999998"/>
        <n v="1472.8"/>
        <n v="139.86000000000001"/>
        <n v="5780.5799999999999"/>
        <n v="1068"/>
        <n v="2043.8"/>
        <n v="733.5"/>
        <n v="90.159999999999997"/>
        <n v="536.67999999999995"/>
        <n v="4627.8000000000002"/>
        <n v="376.60000000000002"/>
        <n v="1949.8"/>
        <n v="2193.9000000000001"/>
        <n v="2924.46"/>
        <n v="1138.9000000000001"/>
        <n v="42.469999999999999"/>
        <n v="1253.4200000000001"/>
        <n v="5923.4499999999998"/>
        <n v="564.26999999999998"/>
        <n v="133.16"/>
        <n v="1389.72"/>
        <n v="644.96000000000004"/>
        <n v="6098.6899999999996"/>
        <n v="2732.5500000000002"/>
        <n v="2238.96"/>
        <n v="321.72000000000003"/>
        <n v="608.08000000000004"/>
        <n v="2534.2399999999998"/>
        <n v="1483.4400000000001"/>
        <n v="435.32999999999998"/>
        <n v="341.06"/>
        <n v="157.72"/>
        <n v="6057.3000000000002"/>
        <n v="1487.6099999999999"/>
        <n v="1948.8"/>
        <n v="673.79999999999995"/>
        <n v="5259.7200000000003"/>
        <n v="1029.8"/>
        <n v="2595.9699999999998"/>
        <n v="6662.1000000000004"/>
        <n v="337.88"/>
        <n v="3116.25"/>
        <n v="742.96000000000004"/>
        <n v="311.60000000000002"/>
        <n v="3741.6599999999999"/>
        <n v="3619.8499999999999"/>
        <n v="131.46000000000001"/>
        <n v="287.88"/>
        <n v="1406.02"/>
        <n v="4643.7299999999996"/>
        <n v="1495.4400000000001"/>
        <n v="686.54999999999995"/>
        <n v="3599"/>
        <n v="446.41000000000003"/>
        <n v="822.96000000000004"/>
        <n v="2205.1199999999999"/>
        <n v="1834.3499999999999"/>
        <n v="4802.5600000000004"/>
        <n v="1008"/>
        <n v="1535.2"/>
        <n v="496.10000000000002"/>
        <n v="605.15999999999997"/>
        <n v="291.80000000000001"/>
        <n v="4943.3999999999996"/>
        <n v="256.14999999999998"/>
        <n v="183.24000000000001"/>
        <n v="197.55000000000001"/>
        <n v="3390.9400000000001"/>
        <n v="3138"/>
        <n v="476.19"/>
        <n v="1797.9200000000001"/>
        <n v="1207.6500000000001"/>
        <n v="509.95999999999998"/>
        <n v="390.80000000000001"/>
        <n v="3151.8400000000001"/>
        <n v="3983.5999999999999"/>
        <n v="3909.4400000000001"/>
        <n v="7233.6000000000004"/>
        <n v="2155.7199999999998"/>
        <n v="1382"/>
        <n v="1218.3"/>
        <n v="4901.6400000000003"/>
        <n v="1106.1700000000001"/>
        <n v="3371.7600000000002"/>
        <n v="1957"/>
        <n v="1128.5699999999999"/>
        <n v="105"/>
        <n v="652.99000000000001"/>
        <n v="1882.72"/>
        <n v="543.27999999999997"/>
        <n v="898.08000000000004"/>
        <n v="294.30000000000001"/>
        <n v="1384.3199999999999"/>
        <n v="1813.6800000000001"/>
        <n v="2496.8499999999999"/>
        <n v="7006.9499999999998"/>
        <n v="1448.3"/>
        <n v="1609.1600000000001"/>
        <n v="1352.52"/>
        <n v="5582.0799999999999"/>
        <n v="4916.7299999999996"/>
        <n v="1255.04"/>
        <n v="657"/>
        <n v="1495.98"/>
        <n v="7337.3999999999996"/>
        <n v="3888.1999999999998"/>
        <n v="3583.4400000000001"/>
        <n v="410.10000000000002"/>
        <n v="1402.3800000000001"/>
        <n v="445.66000000000003"/>
        <n v="1567.3"/>
        <n v="3256.96"/>
        <n v="1603.2"/>
        <n v="135.27000000000001"/>
        <n v="192.18000000000001"/>
        <n v="2346.8499999999999"/>
        <n v="2047.78"/>
        <n v="805.52999999999997"/>
        <n v="1154.28"/>
        <n v="910.60000000000002"/>
        <n v="2562.2399999999998"/>
        <n v="3852.1999999999998"/>
        <n v="386.60000000000002"/>
        <n v="54.950000000000003"/>
        <n v="955.44000000000005"/>
        <n v="791.98000000000002"/>
        <n v="4663.96"/>
        <n v="262.73000000000002"/>
        <n v="361.44"/>
        <n v="1660.6500000000001"/>
        <n v="1449.4400000000001"/>
        <n v="3077.3600000000001"/>
        <n v="3396"/>
        <n v="226.31999999999999"/>
        <n v="1623.78"/>
        <n v="1253.28"/>
        <n v="150.69"/>
        <n v="4052.02"/>
        <n v="5563.3500000000004"/>
        <n v="1204.6800000000001"/>
        <n v="375.93000000000001"/>
        <n v="3921.4000000000001"/>
        <n v="535.89999999999998"/>
        <n v="1427.3"/>
        <n v="207.5"/>
        <n v="1449.8900000000001"/>
        <n v="1895.5"/>
        <n v="614.70000000000005"/>
        <n v="1463.4000000000001"/>
        <n v="1491"/>
        <n v="335.91000000000003"/>
        <n v="4063.9200000000001"/>
        <n v="2396.1599999999999"/>
        <n v="2471.04"/>
        <n v="1096.0799999999999"/>
        <n v="311.72000000000003"/>
        <n v="1482.8699999999999"/>
        <n v="1167"/>
        <n v="3277.9200000000001"/>
        <n v="4755.6599999999999"/>
        <n v="3840.4499999999998"/>
        <n v="7423.6499999999996"/>
        <n v="3776"/>
        <n v="522.39999999999998"/>
        <n v="1960.0899999999999"/>
        <n v="5809.96"/>
        <n v="930.63999999999999"/>
        <n v="565.79999999999995"/>
        <n v="707.89999999999998"/>
        <n v="433.36000000000001"/>
        <n v="1947.52"/>
        <n v="3452.54"/>
        <n v="1052.25"/>
        <n v="3569.4899999999998"/>
        <n v="1643.7"/>
        <n v="4293.6300000000001"/>
        <n v="3451.23"/>
        <n v="2420.0500000000002"/>
        <n v="3637.79"/>
        <n v="4644"/>
        <n v="4011.2399999999998"/>
        <n v="3013.9899999999998"/>
        <n v="1858.6400000000001"/>
        <n v="3418.4699999999998"/>
        <n v="5929.6999999999998"/>
        <n v="1394.75"/>
        <n v="417.5"/>
        <n v="137.30000000000001"/>
        <n v="3459.4699999999998"/>
        <n v="3614.2800000000002"/>
        <n v="6326.0600000000004"/>
        <n v="3339.8400000000001"/>
        <n v="1357.2"/>
        <n v="5207.8000000000002"/>
        <n v="66.849999999999994"/>
        <n v="2201.5"/>
        <n v="5137.4399999999996"/>
        <n v="4888.5200000000004"/>
        <n v="466.56"/>
        <n v="1613.6400000000001"/>
        <n v="4315.6800000000003"/>
        <n v="2734.48"/>
        <n v="2798.04"/>
        <n v="4707.2299999999996"/>
        <n v="4311.5799999999999"/>
        <n v="488.39999999999998"/>
        <n v="2189.9899999999998"/>
        <n v="1141.03"/>
        <n v="4243.2600000000002"/>
        <n v="5935.4399999999996"/>
        <n v="2081.0900000000001"/>
        <n v="432.05000000000001"/>
        <n v="107.09999999999999"/>
        <n v="3536.3899999999999"/>
        <n v="97.620000000000005"/>
        <n v="570.74000000000001"/>
        <n v="652.96000000000004"/>
        <n v="4224.5100000000002"/>
        <n v="1616.8"/>
        <n v="1072.8299999999999"/>
        <n v="1616.9400000000001"/>
        <n v="6104.4099999999999"/>
        <n v="337.63"/>
        <n v="391.26999999999998"/>
        <n v="445.01999999999998"/>
        <n v="920.75999999999999"/>
        <n v="1427.8"/>
        <n v="1307.0699999999999"/>
        <n v="3613.4000000000001"/>
        <n v="353.5"/>
        <n v="2751.9000000000001"/>
        <n v="4829.5500000000002"/>
        <n v="492.56999999999999"/>
        <n v="368.48000000000002"/>
        <n v="4692.9300000000003"/>
        <n v="1212.5"/>
        <n v="1562.1199999999999"/>
        <n v="24.920000000000002"/>
        <n v="304.5"/>
        <n v="400.07999999999998"/>
        <n v="694.98000000000002"/>
        <n v="1633.5"/>
        <n v="3291.5999999999999"/>
        <n v="1093.1199999999999"/>
        <n v="1186.2"/>
        <n v="2805.7199999999998"/>
        <n v="286.52999999999997"/>
        <n v="3269.52"/>
        <n v="967.91999999999996"/>
        <n v="266.80000000000001"/>
        <n v="4336.4200000000001"/>
        <n v="4266.3500000000004"/>
        <n v="1760.1300000000001"/>
        <n v="1389.6400000000001"/>
        <n v="220.15000000000001"/>
        <n v="2256.0999999999999"/>
        <n v="245.44"/>
        <n v="4229.1899999999996"/>
        <n v="1441.55"/>
        <n v="1187.3399999999999"/>
        <n v="3490.96"/>
        <n v="5770.96"/>
        <n v="4027.77"/>
        <n v="2040.78"/>
        <n v="338.36000000000001"/>
        <n v="1271.28"/>
        <n v="982.66999999999996"/>
        <n v="886.88"/>
        <n v="1325.79"/>
        <n v="1751.4000000000001"/>
        <n v="43.170000000000002"/>
        <n v="326.94999999999999"/>
        <n v="2284.1999999999998"/>
        <n v="6322.1199999999999"/>
        <n v="1656.76"/>
        <n v="1731.3"/>
        <n v="1325.04"/>
        <n v="211.75"/>
        <n v="5290.9200000000001"/>
        <n v="3927.6999999999998"/>
        <n v="3904.6999999999998"/>
        <n v="2498.5799999999999"/>
        <n v="260.88"/>
        <n v="1682.52"/>
        <n v="5553.96"/>
        <n v="946.98000000000002"/>
        <n v="777.26999999999998"/>
        <n v="4562.7399999999998"/>
        <n v="6216.5600000000004"/>
        <n v="1823.9100000000001"/>
        <n v="1930.8"/>
        <n v="3664.7199999999998"/>
        <n v="1267.1600000000001"/>
        <n v="5170.5500000000002"/>
        <n v="3089.6999999999998"/>
        <n v="447.48000000000002"/>
        <n v="431.85000000000002"/>
        <n v="6509.5500000000002"/>
        <n v="6998.25"/>
        <n v="412.92000000000002"/>
        <n v="3717.75"/>
        <n v="2270.1599999999999"/>
        <n v="1394.9000000000001"/>
        <n v="1967.3499999999999"/>
        <n v="1878.8"/>
        <n v="3793.6799999999998"/>
        <n v="454"/>
        <n v="2319.73"/>
        <n v="2243.04"/>
        <n v="5782.1999999999998"/>
        <n v="226.25999999999999"/>
        <n v="708.25999999999999"/>
        <n v="219.75"/>
        <n v="3174.96"/>
        <n v="354.66000000000003"/>
        <n v="1359.3800000000001"/>
        <n v="394.79000000000002"/>
        <n v="3482.9899999999998"/>
        <n v="1622.3599999999999"/>
        <n v="4931.1599999999999"/>
        <n v="5093.6599999999999"/>
        <n v="226.53"/>
        <n v="431.57999999999998"/>
        <n v="2867.2800000000002"/>
        <n v="489.80000000000001"/>
        <n v="2010.3599999999999"/>
        <n v="130.97999999999999"/>
        <n v="1180.3199999999999"/>
        <n v="1574"/>
        <n v="2018.75"/>
        <n v="522.08000000000004"/>
        <n v="355.56"/>
        <n v="1626.72"/>
        <n v="2482.75"/>
        <n v="2116.4400000000001"/>
        <n v="335.92000000000002"/>
        <n v="426.80000000000001"/>
        <n v="1783.25"/>
        <n v="6441.6300000000001"/>
        <n v="2968.0999999999999"/>
        <n v="1020.9"/>
        <n v="319.86000000000001"/>
        <n v="6042.9200000000001"/>
        <n v="587.42999999999995"/>
        <n v="755.59000000000003"/>
        <n v="655.89999999999998"/>
        <n v="2085.02"/>
        <n v="2648.9000000000001"/>
        <n v="867.32000000000005"/>
        <n v="2696.4000000000001"/>
        <n v="2232.0900000000001"/>
        <n v="4359.7200000000003"/>
        <n v="81.180000000000007"/>
        <n v="456.43000000000001"/>
        <n v="3845.0999999999999"/>
        <n v="559.13999999999999"/>
        <n v="5594.6400000000003"/>
        <n v="933.20000000000005"/>
        <n v="1057.5"/>
        <n v="1445.2"/>
        <n v="958.79999999999995"/>
        <n v="4417.1099999999997"/>
        <n v="1653.0999999999999"/>
        <n v="758.65999999999997"/>
        <n v="3575.9000000000001"/>
        <n v="5990.6999999999998"/>
        <n v="1436.55"/>
        <n v="2216.48"/>
        <n v="982.17999999999995"/>
        <n v="5513.8500000000004"/>
        <n v="990.51999999999998"/>
        <n v="414.48000000000002"/>
        <n v="269.85000000000002"/>
        <n v="846.21000000000004"/>
        <n v="6110.3999999999996"/>
        <n v="3774.5"/>
        <n v="1193.1600000000001"/>
        <n v="823.54999999999995"/>
        <n v="229.91"/>
        <n v="457.19999999999999"/>
        <n v="3053.9200000000001"/>
        <n v="454.41000000000003"/>
        <n v="468.30000000000001"/>
        <n v="4869.8999999999996"/>
        <n v="1722.3299999999999"/>
        <n v="4382.6999999999998"/>
        <n v="6451.0500000000002"/>
        <n v="4014.1399999999999"/>
        <n v="1090.0999999999999"/>
        <n v="2421.21"/>
        <n v="2521.9200000000001"/>
        <n v="167.52000000000001"/>
        <n v="959.90999999999997"/>
        <n v="1720.5999999999999"/>
        <n v="719.60000000000002"/>
        <n v="2432.6999999999998"/>
        <n v="2414.6399999999999"/>
        <n v="2151.9499999999998"/>
        <n v="815.22000000000003"/>
        <n v="3963.3099999999999"/>
        <n v="595.51999999999998"/>
        <n v="380.41000000000003"/>
        <n v="1423.8599999999999"/>
        <n v="156.34"/>
        <n v="6699.3000000000002"/>
        <n v="6009.8999999999996"/>
        <n v="339.54000000000002"/>
        <n v="2750.04"/>
        <n v="2291.6399999999999"/>
        <n v="4329.7200000000003"/>
        <n v="799.04999999999995"/>
        <n v="2144.0100000000002"/>
        <n v="3553.8800000000001"/>
        <n v="1928.22"/>
        <n v="389.89999999999998"/>
        <n v="1672.72"/>
        <n v="3084.8299999999999"/>
        <n v="583.36000000000001"/>
        <n v="5269.3500000000004"/>
        <n v="5002.1400000000003"/>
        <n v="5487.3500000000004"/>
        <n v="100.31999999999999"/>
        <n v="654.36000000000001"/>
        <n v="7276.5"/>
        <n v="5686.46"/>
        <n v="5923.71"/>
        <n v="825"/>
        <n v="331.83999999999997"/>
        <n v="1799.8199999999999"/>
        <n v="1135.8399999999999"/>
        <n v="3138.3000000000002"/>
        <n v="1450.2"/>
        <n v="3028.4000000000001"/>
        <n v="1372.6400000000001"/>
        <n v="1864.2"/>
        <n v="3269.6999999999998"/>
        <n v="2923.6900000000001"/>
        <n v="924.72000000000003"/>
        <n v="5235.4799999999996"/>
        <n v="978.48000000000002"/>
        <n v="4459.9799999999996"/>
        <n v="4348.0799999999999"/>
        <n v="350.62"/>
        <n v="2217.04"/>
        <n v="4368.9099999999999"/>
        <n v="3869.5799999999999"/>
        <n v="1540.0699999999999"/>
        <n v="1886.7"/>
        <n v="634.94000000000005"/>
        <n v="1114.54"/>
        <n v="354.88"/>
        <n v="3051.1500000000001"/>
        <n v="476.51999999999998"/>
        <n v="916.88"/>
        <n v="5326.8800000000001"/>
        <n v="1930.5599999999999"/>
        <n v="2977.98"/>
        <n v="762.40999999999997"/>
        <n v="2167.7399999999998"/>
        <n v="2073.2399999999998"/>
        <n v="649.36000000000001"/>
        <n v="306.06"/>
        <n v="5255.04"/>
        <n v="1489.1800000000001"/>
        <n v="1016.47"/>
        <n v="123.55"/>
        <n v="1305.72"/>
        <n v="5508.3599999999997"/>
        <n v="369.06999999999999"/>
        <n v="401.13"/>
        <n v="3134.8200000000002"/>
        <n v="5082.8400000000001"/>
        <n v="795.72000000000003"/>
        <n v="4256.7600000000002"/>
        <n v="2762.3400000000001"/>
        <n v="5927.2799999999997"/>
        <n v="4910.3599999999997"/>
        <n v="2810.4000000000001"/>
        <n v="866.75999999999999"/>
        <n v="1169.0799999999999"/>
        <n v="6722.5200000000004"/>
        <n v="4418.9099999999999"/>
        <n v="348.72000000000003"/>
        <n v="2948.8200000000002"/>
        <n v="3882.6700000000001"/>
        <n v="5965.0500000000002"/>
        <n v="486.80000000000001"/>
        <n v="5053.0200000000004"/>
        <n v="533.20000000000005"/>
        <n v="82.219999999999999"/>
        <n v="1957.7"/>
        <n v="258.89999999999998"/>
        <n v="1546.4000000000001"/>
        <n v="957.60000000000002"/>
        <n v="6754.8000000000002"/>
        <n v="3671.3600000000001"/>
        <n v="5321.5799999999999"/>
        <n v="2379.02"/>
        <n v="12.859999999999999"/>
        <n v="3786.2399999999998"/>
        <n v="985.38"/>
        <n v="2039.28"/>
        <n v="1108.24"/>
        <n v="970.32000000000005"/>
        <n v="1557.5999999999999"/>
        <n v="425.19"/>
        <n v="1857.9000000000001"/>
        <n v="1788"/>
        <n v="469"/>
        <n v="2943.6599999999999"/>
        <n v="3495.96"/>
        <n v="7281"/>
        <n v="2908.1799999999998"/>
        <n v="4528.6000000000004"/>
        <n v="549.44000000000005"/>
        <n v="2005.6400000000001"/>
        <n v="801.91999999999996"/>
        <n v="3303"/>
        <n v="244.55000000000001"/>
        <n v="7200.75"/>
        <n v="843.60000000000002"/>
        <n v="538.95000000000005"/>
        <n v="948.39999999999998"/>
        <n v="11.210000000000001"/>
        <n v="1908.7"/>
        <n v="3039.2600000000002"/>
        <n v="3988.27"/>
        <n v="2620.8000000000002"/>
        <n v="822.36000000000001"/>
        <n v="850.79999999999995"/>
        <n v="2697.9699999999998"/>
        <n v="1412.8"/>
        <n v="1641.75"/>
        <n v="4599.4300000000003"/>
        <n v="1777.2"/>
        <n v="717.15999999999997"/>
        <n v="2120.96"/>
        <n v="2901.0599999999999"/>
        <n v="171"/>
        <n v="137.16"/>
        <n v="940.5"/>
        <n v="1110.48"/>
        <n v="584.27999999999997"/>
        <n v="1234.1600000000001"/>
        <n v="228.80000000000001"/>
        <n v="2292.8400000000001"/>
        <n v="5196.1000000000004"/>
        <n v="784.08000000000004"/>
        <n v="2370.7600000000002"/>
        <n v="2620.3800000000001"/>
        <n v="348.68000000000001"/>
        <n v="5503.6800000000003"/>
        <n v="1282.05"/>
        <n v="2061.6999999999998"/>
        <n v="2620.3200000000002"/>
        <n v="153.80000000000001"/>
        <n v="2680.4400000000001"/>
        <n v="838.20000000000005"/>
        <n v="420.19999999999999"/>
        <n v="1807.52"/>
        <n v="3401.46"/>
        <n v="1884.8499999999999"/>
        <n v="1983.52"/>
        <n v="240.41999999999999"/>
        <n v="5532.4799999999996"/>
        <n v="2323.9299999999998"/>
        <n v="1005"/>
        <n v="386.92000000000002"/>
        <n v="2037.04"/>
        <n v="3120.48"/>
        <n v="68.069999999999993"/>
        <n v="322.31999999999999"/>
        <n v="3133.9099999999999"/>
        <n v="6698.1599999999999"/>
        <n v="2696.1900000000001"/>
        <n v="3497.1199999999999"/>
        <n v="1413.72"/>
        <n v="1048.74"/>
        <n v="865.51999999999998"/>
        <n v="2093.7800000000002"/>
        <n v="1810.53"/>
        <n v="774.55999999999995"/>
        <n v="1646.73"/>
        <n v="490"/>
        <n v="2484.54"/>
        <n v="3087.6799999999998"/>
        <n v="456.54000000000002"/>
        <n v="929.5"/>
        <n v="2624.4000000000001"/>
        <n v="1443"/>
        <n v="527.79999999999995"/>
        <n v="460.64999999999998"/>
        <n v="1226.9100000000001"/>
        <n v="653.79999999999995"/>
        <n v="38.350000000000001"/>
        <n v="4461.8000000000002"/>
        <n v="509.04000000000002"/>
        <n v="1588.0999999999999"/>
        <n v="3787.8000000000002"/>
        <n v="1591.5899999999999"/>
        <n v="1693"/>
        <n v="585.57000000000005"/>
        <n v="2296.48"/>
        <n v="5260.9700000000003"/>
        <n v="2356.9000000000001"/>
        <n v="2832.8299999999999"/>
        <n v="514.77999999999997"/>
        <n v="560.78999999999996"/>
        <n v="223"/>
        <n v="5773.5600000000004"/>
        <n v="886.32000000000005"/>
        <n v="297.33999999999997"/>
        <n v="480.10000000000002"/>
        <n v="233.09999999999999"/>
        <n v="4728.5699999999997"/>
        <n v="1602.0899999999999"/>
        <n v="524.41999999999996"/>
        <n v="5647.3199999999997"/>
        <n v="3750.48"/>
        <n v="135.44999999999999"/>
        <n v="6693.3000000000002"/>
        <n v="1938"/>
        <n v="255.56"/>
        <n v="670.08000000000004"/>
        <n v="2719.1999999999998"/>
        <n v="3537.48"/>
        <n v="1428.3"/>
        <n v="1294.0999999999999"/>
        <n v="6163.6400000000003"/>
        <n v="433.01999999999998"/>
        <n v="791.34000000000003"/>
        <n v="6278.6999999999998"/>
        <n v="1979.28"/>
        <n v="2685.48"/>
        <n v="2776.3000000000002"/>
        <n v="2807.0100000000002"/>
        <n v="1666.8599999999999"/>
        <n v="1141.1700000000001"/>
        <n v="643.59000000000003"/>
        <n v="1644.23"/>
        <n v="2562.1999999999998"/>
        <n v="383.30000000000001"/>
        <n v="250.36000000000001"/>
        <n v="330.19999999999999"/>
        <n v="2494.6599999999999"/>
        <n v="944.10000000000002"/>
        <n v="905.44000000000005"/>
        <n v="957.01999999999998"/>
        <n v="1293.4400000000001"/>
        <n v="73.879999999999995"/>
        <n v="3152.8699999999999"/>
        <n v="726.88"/>
        <n v="947.65999999999997"/>
        <n v="140.78"/>
        <n v="6346.3500000000004"/>
        <n v="2846.6900000000001"/>
        <n v="3538.4400000000001"/>
        <n v="1191.1800000000001"/>
        <n v="3590.4000000000001"/>
        <n v="808.47000000000003"/>
        <n v="862.5"/>
        <n v="4090"/>
        <n v="828.89999999999998"/>
        <n v="1175.25"/>
        <n v="2066.9000000000001"/>
        <n v="674.13999999999999"/>
        <n v="98.230000000000004"/>
        <n v="3914.6399999999999"/>
        <n v="2928.3200000000002"/>
        <n v="1985.8"/>
        <n v="4741.8800000000001"/>
        <n v="767.29999999999995"/>
        <n v="48.520000000000003"/>
        <n v="712.12"/>
        <n v="1367.4400000000001"/>
        <n v="485.10000000000002"/>
        <n v="1239.8699999999999"/>
        <n v="178.03999999999999"/>
        <n v="2362.5"/>
        <n v="1625.22"/>
        <n v="1964.4000000000001"/>
        <n v="1145.6099999999999"/>
        <n v="2201.1500000000001"/>
        <n v="795.65999999999997"/>
        <n v="573.72000000000003"/>
        <n v="994.11000000000001"/>
        <n v="1559.1800000000001"/>
        <n v="889.03999999999996"/>
        <n v="786.17999999999995"/>
        <n v="1355.52"/>
        <n v="288.12"/>
        <n v="512.58000000000004"/>
        <n v="4245.21"/>
        <n v="3444.5599999999999"/>
        <n v="4427.2799999999997"/>
        <n v="542.66999999999996"/>
        <n v="1127.8399999999999"/>
        <n v="1301.3699999999999"/>
        <n v="2998.0799999999999"/>
        <n v="1197.5"/>
        <n v="833.69000000000005"/>
        <n v="977.73000000000002"/>
        <n v="206.80000000000001"/>
        <n v="1390.74"/>
        <n v="4068.6999999999998"/>
        <n v="2946.5799999999999"/>
        <n v="1600.2"/>
        <n v="485.92000000000002"/>
        <n v="884.27999999999997"/>
        <n v="4737.7399999999998"/>
        <n v="580.15999999999997"/>
        <n v="2969"/>
        <n v="5146.1199999999999"/>
        <n v="3138.3600000000001"/>
        <n v="398.33999999999997"/>
        <n v="2772.4000000000001"/>
        <n v="2189.04"/>
        <n v="5126.8800000000001"/>
        <n v="332.73000000000002"/>
        <n v="153.81999999999999"/>
        <n v="2141.04"/>
        <n v="5983.3199999999997"/>
        <n v="1230.4000000000001"/>
        <n v="2740.8600000000001"/>
        <n v="1489.74"/>
        <n v="412"/>
        <n v="4992.3999999999996"/>
        <n v="1097.1600000000001"/>
        <n v="1056.25"/>
        <n v="3016.1300000000001"/>
        <n v="4445.3999999999996"/>
        <n v="744.94000000000005"/>
        <n v="431.94999999999999"/>
        <n v="2280.6300000000001"/>
        <n v="1698.71"/>
        <n v="1021.3"/>
        <n v="590.25999999999999"/>
        <n v="1323.8"/>
        <n v="560.79999999999995"/>
        <n v="3847.4400000000001"/>
        <n v="4336.3000000000002"/>
        <n v="382.56"/>
        <n v="239.05000000000001"/>
        <n v="369.60000000000002"/>
        <n v="397.72000000000003"/>
        <n v="1532.9000000000001"/>
        <n v="7198.8000000000002"/>
        <n v="658.03999999999996"/>
        <n v="1076.79"/>
        <n v="3890.25"/>
        <n v="2033.3599999999999"/>
        <n v="416.19"/>
        <n v="1979.52"/>
        <n v="3018.3000000000002"/>
        <n v="406.41000000000003"/>
        <n v="6198.8999999999996"/>
        <n v="5512.6400000000003"/>
        <n v="1306.1500000000001"/>
        <n v="4178.0200000000004"/>
        <n v="4898.1899999999996"/>
        <n v="711.45000000000005"/>
        <n v="6275.25"/>
        <n v="2919.2800000000002"/>
        <n v="74.540000000000006"/>
        <n v="2479"/>
        <n v="1214.72"/>
        <n v="5979.2399999999998"/>
        <n v="2722.1399999999999"/>
        <n v="2020.46"/>
        <n v="6391.3500000000004"/>
        <n v="826.74000000000001"/>
        <n v="1214.3199999999999"/>
        <n v="194.28"/>
        <n v="665.17999999999995"/>
        <n v="870.55999999999995"/>
        <n v="1326.9300000000001"/>
        <n v="1833.3599999999999"/>
        <n v="153.91"/>
        <n v="649.60000000000002"/>
        <n v="721.90999999999997"/>
        <n v="795.60000000000002"/>
        <n v="5370.7200000000003"/>
        <n v="2786.1999999999998"/>
        <n v="719.49000000000001"/>
        <n v="383.60000000000002"/>
        <n v="1787.9400000000001"/>
        <n v="820.33000000000004"/>
        <n v="911.03999999999996"/>
        <n v="209.38"/>
        <n v="5486.4700000000003"/>
        <n v="473.45999999999998"/>
        <n v="442.25999999999999"/>
        <n v="385.38"/>
        <n v="965.46000000000004"/>
        <n v="690.20000000000005"/>
        <n v="3207.0500000000002"/>
        <n v="255.15000000000001"/>
        <n v="696.91999999999996"/>
        <n v="1619.3599999999999"/>
        <n v="2392.4699999999998"/>
        <n v="447.31999999999999"/>
        <n v="435.70999999999998"/>
        <n v="4249.3999999999996"/>
        <n v="180.06"/>
        <n v="1693.4400000000001"/>
        <n v="1024.1700000000001"/>
        <n v="371.10000000000002"/>
        <n v="3068.73"/>
        <n v="351.42000000000002"/>
        <n v="931.60000000000002"/>
        <n v="2113.5"/>
        <n v="2368.8000000000002"/>
        <n v="787.47000000000003"/>
        <n v="5631.2399999999998"/>
        <n v="1974.8499999999999"/>
        <n v="178.56"/>
        <n v="587.03999999999996"/>
        <n v="439.42000000000002"/>
        <n v="3960.3200000000002"/>
        <n v="852.72000000000003"/>
        <n v="284.57999999999998"/>
        <n v="989.39999999999998"/>
        <n v="332.25"/>
        <n v="952.13999999999999"/>
        <n v="141.12"/>
        <n v="2286.0599999999999"/>
        <n v="204.12"/>
        <n v="1994.02"/>
        <n v="719.51999999999998"/>
        <n v="1020.54"/>
        <n v="4095.8400000000001"/>
        <n v="1125.1800000000001"/>
        <n v="492.05000000000001"/>
        <n v="2202.6999999999998"/>
        <n v="2188.5"/>
        <n v="150.09999999999999"/>
        <n v="1878.3"/>
        <n v="923.08000000000004"/>
        <n v="2999.6399999999999"/>
        <n v="3502.3200000000002"/>
        <n v="3312.98"/>
        <n v="355.19999999999999"/>
        <n v="321.80000000000001"/>
        <n v="316.11000000000001"/>
        <n v="2260.8000000000002"/>
        <n v="3872.1599999999999"/>
        <n v="1214.4000000000001"/>
        <n v="677.82000000000005"/>
        <n v="6501.3199999999997"/>
        <n v="858.12"/>
        <n v="1395.3"/>
        <n v="419.19999999999999"/>
        <n v="3906.6500000000001"/>
        <n v="474.25"/>
        <n v="5648.2399999999998"/>
        <n v="3236.0799999999999"/>
        <n v="197.65000000000001"/>
        <n v="1534.28"/>
        <n v="2735.8099999999999"/>
        <n v="935.75"/>
        <n v="4499.5500000000002"/>
        <n v="1701.52"/>
        <n v="1962.4000000000001"/>
        <n v="309.81"/>
        <n v="5016.5500000000002"/>
        <n v="4544.1499999999996"/>
        <n v="263.85000000000002"/>
        <n v="207.31999999999999"/>
        <n v="871.30999999999995"/>
        <n v="2652.4000000000001"/>
        <n v="5734.2600000000002"/>
        <n v="2498.46"/>
        <n v="1971.48"/>
        <n v="632.27999999999997"/>
        <n v="1258.02"/>
        <n v="1043.2"/>
      </sharedItems>
    </cacheField>
    <cacheField name="Discount (%)" numFmtId="0">
      <sharedItems containsSemiMixedTypes="0" containsString="0" containsNumber="1" minValue="0" maxValue="0.3" count="31">
        <n v="0.23000000000000001"/>
        <n v="0.11"/>
        <n v="0.01"/>
        <n v="0.14000000000000001"/>
        <n v="0.050000000000000003"/>
        <n v="0.28000000000000003"/>
        <n v="0.13"/>
        <n v="0.17000000000000001"/>
        <n v="0"/>
        <n v="0.23999999999999999"/>
        <n v="0.26000000000000001"/>
        <n v="0.059999999999999998"/>
        <n v="0.029999999999999999"/>
        <n v="0.070000000000000007"/>
        <n v="0.080000000000000002"/>
        <n v="0.25"/>
        <n v="0.16"/>
        <n v="0.27000000000000002"/>
        <n v="0.02"/>
        <n v="0.19"/>
        <n v="0.10000000000000001"/>
        <n v="0.20000000000000001"/>
        <n v="0.12"/>
        <n v="0.17999999999999999"/>
        <n v="0.20999999999999999"/>
        <n v="0.089999999999999997"/>
        <n v="0.28999999999999998"/>
        <n v="0.14999999999999999"/>
        <n v="0.22"/>
        <n v="0.040000000000000001"/>
        <n v="0.29999999999999999"/>
      </sharedItems>
    </cacheField>
    <cacheField name="Profit" numFmtId="0">
      <sharedItems containsSemiMixedTypes="0" containsString="0" containsNumber="1" minValue="-1492.22" maxValue="1580.63" count="990">
        <n v="-97.150000000000006"/>
        <n v="61.520000000000003"/>
        <n v="65.049999999999997"/>
        <n v="9.5600000000000005"/>
        <n v="122.73999999999999"/>
        <n v="-94.879999999999995"/>
        <n v="-54.009999999999998"/>
        <n v="413.27999999999997"/>
        <n v="-90.209999999999994"/>
        <n v="-253.69999999999999"/>
        <n v="4"/>
        <n v="-137.81999999999999"/>
        <n v="87.180000000000007"/>
        <n v="-290.75999999999999"/>
        <n v="281.88"/>
        <n v="304.58999999999997"/>
        <n v="1.3700000000000001"/>
        <n v="103.06999999999999"/>
        <n v="-14.06"/>
        <n v="-3.6400000000000001"/>
        <n v="144.78"/>
        <n v="-57.25"/>
        <n v="110.16"/>
        <n v="26.82"/>
        <n v="-81.219999999999999"/>
        <n v="-14.69"/>
        <n v="86.719999999999999"/>
        <n v="-165.21000000000001"/>
        <n v="63.759999999999998"/>
        <n v="758.49000000000001"/>
        <n v="70.090000000000003"/>
        <n v="119.38"/>
        <n v="-23.629999999999999"/>
        <n v="8.3900000000000006"/>
        <n v="-156"/>
        <n v="293.75"/>
        <n v="0.22"/>
        <n v="-392.97000000000003"/>
        <n v="25.600000000000001"/>
        <n v="-113.72"/>
        <n v="-383.94999999999999"/>
        <n v="-139.41"/>
        <n v="-1.53"/>
        <n v="8.7100000000000009"/>
        <n v="-6.0499999999999998"/>
        <n v="19.530000000000001"/>
        <n v="-83.760000000000005"/>
        <n v="314.62"/>
        <n v="-296.79000000000002"/>
        <n v="-7.3799999999999999"/>
        <n v="-31.190000000000001"/>
        <n v="-93.769999999999996"/>
        <n v="198.97"/>
        <n v="147.15000000000001"/>
        <n v="834.75999999999999"/>
        <n v="28.809999999999999"/>
        <n v="-551.21000000000004"/>
        <n v="-425.70999999999998"/>
        <n v="26.899999999999999"/>
        <n v="932"/>
        <n v="-57.030000000000001"/>
        <n v="332.08999999999997"/>
        <n v="-327.69999999999999"/>
        <n v="293.69999999999999"/>
        <n v="-320.37"/>
        <n v="-16.98"/>
        <n v="145.44"/>
        <n v="-120.54000000000001"/>
        <n v="-266.61000000000001"/>
        <n v="-222.88"/>
        <n v="19.699999999999999"/>
        <n v="31.25"/>
        <n v="-79.420000000000002"/>
        <n v="93.829999999999998"/>
        <n v="-99.299999999999997"/>
        <n v="-148.66"/>
        <n v="-26.609999999999999"/>
        <n v="74.150000000000006"/>
        <n v="976.88"/>
        <n v="-358.77999999999997"/>
        <n v="213.24000000000001"/>
        <n v="3.3399999999999999"/>
        <n v="65.280000000000001"/>
        <n v="-28.02"/>
        <n v="-66.030000000000001"/>
        <n v="-14.57"/>
        <n v="726.55999999999995"/>
        <n v="34.439999999999998"/>
        <n v="187.24000000000001"/>
        <n v="239.80000000000001"/>
        <n v="-5.1299999999999999"/>
        <n v="251.22999999999999"/>
        <n v="307.31999999999999"/>
        <n v="370.31"/>
        <n v="-441.86000000000001"/>
        <n v="205.08000000000001"/>
        <n v="-32.159999999999997"/>
        <n v="19.449999999999999"/>
        <n v="-33.340000000000003"/>
        <n v="265.94"/>
        <n v="24.719999999999999"/>
        <n v="-127.67"/>
        <n v="22.41"/>
        <n v="27.350000000000001"/>
        <n v="-48.07"/>
        <n v="48.380000000000003"/>
        <n v="-212.74000000000001"/>
        <n v="88.920000000000002"/>
        <n v="48.539999999999999"/>
        <n v="133.81999999999999"/>
        <n v="-152.11000000000001"/>
        <n v="58.049999999999997"/>
        <n v="38.020000000000003"/>
        <n v="121.98999999999999"/>
        <n v="18.719999999999999"/>
        <n v="-32.340000000000003"/>
        <n v="-69.459999999999994"/>
        <n v="24.280000000000001"/>
        <n v="-100.87"/>
        <n v="-3.96"/>
        <n v="-55.5"/>
        <n v="215.5"/>
        <n v="32.159999999999997"/>
        <n v="-92.680000000000007"/>
        <n v="26.129999999999999"/>
        <n v="-731.46000000000004"/>
        <n v="-227.63999999999999"/>
        <n v="141.56999999999999"/>
        <n v="30.48"/>
        <n v="7.7300000000000004"/>
        <n v="39.520000000000003"/>
        <n v="-681.61000000000001"/>
        <n v="36.119999999999997"/>
        <n v="-253.13"/>
        <n v="11.960000000000001"/>
        <n v="225.72999999999999"/>
        <n v="-63.399999999999999"/>
        <n v="4.4800000000000004"/>
        <n v="102.95999999999999"/>
        <n v="-794.77999999999997"/>
        <n v="-70.099999999999994"/>
        <n v="25.73"/>
        <n v="167.78999999999999"/>
        <n v="-126.90000000000001"/>
        <n v="204.88999999999999"/>
        <n v="-306.55000000000001"/>
        <n v="440.56"/>
        <n v="19.34"/>
        <n v="4.6500000000000004"/>
        <n v="-449.63999999999999"/>
        <n v="-178.91"/>
        <n v="4.5700000000000003"/>
        <n v="24.120000000000001"/>
        <n v="33.189999999999998"/>
        <n v="-550.54999999999995"/>
        <n v="85.719999999999999"/>
        <n v="-55.649999999999999"/>
        <n v="-26.460000000000001"/>
        <n v="59.520000000000003"/>
        <n v="-213.81"/>
        <n v="-357.91000000000003"/>
        <n v="27.170000000000002"/>
        <n v="22.309999999999999"/>
        <n v="-744.25999999999999"/>
        <n v="153.25"/>
        <n v="4.1299999999999999"/>
        <n v="197.83000000000001"/>
        <n v="-134.06999999999999"/>
        <n v="31.379999999999999"/>
        <n v="35.770000000000003"/>
        <n v="66.829999999999998"/>
        <n v="-40.200000000000003"/>
        <n v="-11.56"/>
        <n v="296.45999999999998"/>
        <n v="-20.68"/>
        <n v="88.739999999999995"/>
        <n v="-332.61000000000001"/>
        <n v="161.93000000000001"/>
        <n v="-907.36000000000001"/>
        <n v="-105.34999999999999"/>
        <n v="-42.719999999999999"/>
        <n v="-21.5"/>
        <n v="1.73"/>
        <n v="20.52"/>
        <n v="-375.56999999999999"/>
        <n v="23.210000000000001"/>
        <n v="12.630000000000001"/>
        <n v="23.07"/>
        <n v="51.149999999999999"/>
        <n v="-379.32999999999998"/>
        <n v="-5.8300000000000001"/>
        <n v="231.93000000000001"/>
        <n v="-150.56"/>
        <n v="-22.359999999999999"/>
        <n v="13.59"/>
        <n v="-268.92000000000002"/>
        <n v="-74.799999999999997"/>
        <n v="-313.75999999999999"/>
        <n v="-1492.22"/>
        <n v="0.76000000000000001"/>
        <n v="80.170000000000002"/>
        <n v="-98.239999999999995"/>
        <n v="-627.55999999999995"/>
        <n v="-146.63999999999999"/>
        <n v="-404.32999999999998"/>
        <n v="330.30000000000001"/>
        <n v="202.55000000000001"/>
        <n v="6.0800000000000001"/>
        <n v="-64.489999999999995"/>
        <n v="393.77999999999997"/>
        <n v="111.75"/>
        <n v="148.94999999999999"/>
        <n v="60.170000000000002"/>
        <n v="50.579999999999998"/>
        <n v="173.19"/>
        <n v="-503.44"/>
        <n v="-553.23000000000002"/>
        <n v="89.140000000000001"/>
        <n v="-192.63999999999999"/>
        <n v="167.33000000000001"/>
        <n v="50.43"/>
        <n v="-1035.3"/>
        <n v="-89.019999999999996"/>
        <n v="-36.840000000000003"/>
        <n v="215.94"/>
        <n v="298.22000000000003"/>
        <n v="-424.44"/>
        <n v="354.33999999999997"/>
        <n v="23.969999999999999"/>
        <n v="229.84"/>
        <n v="-52.68"/>
        <n v="-142.84999999999999"/>
        <n v="-397.56"/>
        <n v="27.649999999999999"/>
        <n v="19.010000000000002"/>
        <n v="32.979999999999997"/>
        <n v="6.3700000000000001"/>
        <n v="-66.019999999999996"/>
        <n v="-17.949999999999999"/>
        <n v="197.84"/>
        <n v="49.789999999999999"/>
        <n v="104.61"/>
        <n v="51.909999999999997"/>
        <n v="59.25"/>
        <n v="4.6699999999999999"/>
        <n v="-63.130000000000003"/>
        <n v="75.819999999999993"/>
        <n v="-89.959999999999994"/>
        <n v="27.329999999999998"/>
        <n v="-59.75"/>
        <n v="224.81"/>
        <n v="197.40000000000001"/>
        <n v="-520.47000000000003"/>
        <n v="-1.72"/>
        <n v="-15.390000000000001"/>
        <n v="-220.37"/>
        <n v="76.370000000000005"/>
        <n v="32.060000000000002"/>
        <n v="100.95"/>
        <n v="-72.930000000000007"/>
        <n v="-109.73"/>
        <n v="4.9199999999999999"/>
        <n v="447.54000000000002"/>
        <n v="15.73"/>
        <n v="-50.869999999999997"/>
        <n v="-11.25"/>
        <n v="59.450000000000003"/>
        <n v="102.98"/>
        <n v="50.329999999999998"/>
        <n v="-185.31"/>
        <n v="-204.38999999999999"/>
        <n v="-32.93"/>
        <n v="-177.66"/>
        <n v="25.300000000000001"/>
        <n v="-465.52999999999997"/>
        <n v="108.01000000000001"/>
        <n v="-23.760000000000002"/>
        <n v="27.43"/>
        <n v="-149.59999999999999"/>
        <n v="140.05000000000001"/>
        <n v="410.22000000000003"/>
        <n v="750.71000000000004"/>
        <n v="908.70000000000005"/>
        <n v="-113.23"/>
        <n v="111.67"/>
        <n v="262.52999999999997"/>
        <n v="771.64999999999998"/>
        <n v="53.310000000000002"/>
        <n v="-48.200000000000003"/>
        <n v="-87.430000000000007"/>
        <n v="287.79000000000002"/>
        <n v="149.59"/>
        <n v="127.72"/>
        <n v="213.69999999999999"/>
        <n v="-140.58000000000001"/>
        <n v="422.24000000000001"/>
        <n v="309.98000000000002"/>
        <n v="-409.86000000000001"/>
        <n v="-74.409999999999997"/>
        <n v="333.31999999999999"/>
        <n v="416.68000000000001"/>
        <n v="81.319999999999993"/>
        <n v="194.25999999999999"/>
        <n v="366.83999999999997"/>
        <n v="896.32000000000005"/>
        <n v="-11.74"/>
        <n v="37.030000000000001"/>
        <n v="7.4500000000000002"/>
        <n v="-8.9600000000000009"/>
        <n v="-335.87"/>
        <n v="-107.02"/>
        <n v="731.24000000000001"/>
        <n v="-147.91"/>
        <n v="606.08000000000004"/>
        <n v="5.8399999999999999"/>
        <n v="-220.24000000000001"/>
        <n v="428.24000000000001"/>
        <n v="-654.97000000000003"/>
        <n v="-50.57"/>
        <n v="302.79000000000002"/>
        <n v="294.94"/>
        <n v="4.9800000000000004"/>
        <n v="-164.66"/>
        <n v="-630.26999999999998"/>
        <n v="62.060000000000002"/>
        <n v="5.4699999999999998"/>
        <n v="-226.65000000000001"/>
        <n v="107.45999999999999"/>
        <n v="407.62"/>
        <n v="-383.56"/>
        <n v="307.01999999999998"/>
        <n v="-93.019999999999996"/>
        <n v="10.31"/>
        <n v="525.28999999999996"/>
        <n v="9.8200000000000003"/>
        <n v="40.719999999999999"/>
        <n v="29.870000000000001"/>
        <n v="-882.98000000000002"/>
        <n v="201.28999999999999"/>
        <n v="-134.81"/>
        <n v="92.209999999999994"/>
        <n v="791.62"/>
        <n v="-16.739999999999998"/>
        <n v="15.710000000000001"/>
        <n v="-21.02"/>
        <n v="-45"/>
        <n v="-125.81999999999999"/>
        <n v="61.82"/>
        <n v="-120.2"/>
        <n v="-1.8700000000000001"/>
        <n v="301.94999999999999"/>
        <n v="-130.05000000000001"/>
        <n v="72.390000000000001"/>
        <n v="9.4600000000000009"/>
        <n v="-70.069999999999993"/>
        <n v="43.890000000000001"/>
        <n v="-225.72"/>
        <n v="2.04"/>
        <n v="-16.329999999999998"/>
        <n v="37.969999999999999"/>
        <n v="28.309999999999999"/>
        <n v="75.640000000000001"/>
        <n v="592.98000000000002"/>
        <n v="132.41"/>
        <n v="119.88"/>
        <n v="32.759999999999998"/>
        <n v="-7.0599999999999996"/>
        <n v="47.640000000000001"/>
        <n v="68.489999999999995"/>
        <n v="-6.8899999999999997"/>
        <n v="739.45000000000005"/>
        <n v="-182.68000000000001"/>
        <n v="277.05000000000001"/>
        <n v="95.769999999999996"/>
        <n v="-14.33"/>
        <n v="303.23000000000002"/>
        <n v="20.940000000000001"/>
        <n v="46.759999999999998"/>
        <n v="15.48"/>
        <n v="-101.62"/>
        <n v="-583.49000000000001"/>
        <n v="1187.22"/>
        <n v="-116.13"/>
        <n v="217.69"/>
        <n v="-26.420000000000002"/>
        <n v="-45.729999999999997"/>
        <n v="21.620000000000001"/>
        <n v="-72.480000000000004"/>
        <n v="-97.540000000000006"/>
        <n v="340.5"/>
        <n v="7.5099999999999998"/>
        <n v="26.010000000000002"/>
        <n v="359.06999999999999"/>
        <n v="-470.52999999999997"/>
        <n v="96.359999999999999"/>
        <n v="-57.240000000000002"/>
        <n v="-143.31999999999999"/>
        <n v="29.07"/>
        <n v="74.420000000000002"/>
        <n v="-440.33999999999997"/>
        <n v="330.45999999999998"/>
        <n v="-67.629999999999995"/>
        <n v="-3.4100000000000001"/>
        <n v="-172.16"/>
        <n v="589.99000000000001"/>
        <n v="174.58000000000001"/>
        <n v="28.66"/>
        <n v="-902.84000000000003"/>
        <n v="-1179.4100000000001"/>
        <n v="210.97"/>
        <n v="-45.420000000000002"/>
        <n v="284.81"/>
        <n v="86.75"/>
        <n v="703.58000000000004"/>
        <n v="-476.12"/>
        <n v="-1.04"/>
        <n v="-11.279999999999999"/>
        <n v="615.91999999999996"/>
        <n v="-762.00999999999999"/>
        <n v="96.459999999999994"/>
        <n v="-675.75999999999999"/>
        <n v="-145.78999999999999"/>
        <n v="100.53"/>
        <n v="268.22000000000003"/>
        <n v="-22.16"/>
        <n v="45.060000000000002"/>
        <n v="-9.6400000000000006"/>
        <n v="44.450000000000003"/>
        <n v="-72.939999999999998"/>
        <n v="182.36000000000001"/>
        <n v="35.539999999999999"/>
        <n v="-13.76"/>
        <n v="-27.050000000000001"/>
        <n v="-93.049999999999997"/>
        <n v="37.890000000000001"/>
        <n v="61.68"/>
        <n v="19.260000000000002"/>
        <n v="503.74000000000001"/>
        <n v="-203.84"/>
        <n v="-800.23000000000002"/>
        <n v="-138.53999999999999"/>
        <n v="-35.409999999999997"/>
        <n v="-17.41"/>
        <n v="201.88999999999999"/>
        <n v="11.06"/>
        <n v="-269.38"/>
        <n v="30.579999999999998"/>
        <n v="34.109999999999999"/>
        <n v="75.969999999999999"/>
        <n v="4.1399999999999997"/>
        <n v="114.34999999999999"/>
        <n v="-69.359999999999999"/>
        <n v="246.74000000000001"/>
        <n v="423.10000000000002"/>
        <n v="-140.78"/>
        <n v="-31.32"/>
        <n v="-26.789999999999999"/>
        <n v="170.03999999999999"/>
        <n v="496.35000000000002"/>
        <n v="41.030000000000001"/>
        <n v="-107.97"/>
        <n v="-1.78"/>
        <n v="-194.66"/>
        <n v="-38.840000000000003"/>
        <n v="-169.15000000000001"/>
        <n v="-8.3300000000000001"/>
        <n v="-252.84"/>
        <n v="-536.55999999999995"/>
        <n v="16.149999999999999"/>
        <n v="-266.48000000000002"/>
        <n v="-49.090000000000003"/>
        <n v="-81.670000000000002"/>
        <n v="8.3000000000000007"/>
        <n v="70.25"/>
        <n v="-206.75"/>
        <n v="-7.1200000000000001"/>
        <n v="1199.8900000000001"/>
        <n v="15.789999999999999"/>
        <n v="113.83"/>
        <n v="-255.05000000000001"/>
        <n v="-0.85999999999999999"/>
        <n v="678.92999999999995"/>
        <n v="5.9299999999999997"/>
        <n v="-139.52000000000001"/>
        <n v="453.26999999999998"/>
        <n v="429.68000000000001"/>
        <n v="-52.700000000000003"/>
        <n v="263.22000000000003"/>
        <n v="-12.390000000000001"/>
        <n v="-242.25"/>
        <n v="16.780000000000001"/>
        <n v="24.850000000000001"/>
        <n v="-45.700000000000003"/>
        <n v="46.93"/>
        <n v="404.39999999999998"/>
        <n v="373.63"/>
        <n v="-10.19"/>
        <n v="-99.799999999999997"/>
        <n v="-36.460000000000001"/>
        <n v="-44.5"/>
        <n v="674.38999999999999"/>
        <n v="21.329999999999998"/>
        <n v="-24.510000000000002"/>
        <n v="328.94999999999999"/>
        <n v="-246.12"/>
        <n v="145.88999999999999"/>
        <n v="-79.849999999999994"/>
        <n v="626.72000000000003"/>
        <n v="-232.88999999999999"/>
        <n v="-278.63"/>
        <n v="-242.72999999999999"/>
        <n v="36.469999999999999"/>
        <n v="-51.700000000000003"/>
        <n v="396.02999999999997"/>
        <n v="-64.359999999999999"/>
        <n v="333.95999999999998"/>
        <n v="378.69"/>
        <n v="160.52000000000001"/>
        <n v="-8.2300000000000004"/>
        <n v="-411.24000000000001"/>
        <n v="-102.52"/>
        <n v="-53.07"/>
        <n v="-52.509999999999998"/>
        <n v="21.890000000000001"/>
        <n v="1272.0999999999999"/>
        <n v="-780.80999999999995"/>
        <n v="-2.9300000000000002"/>
        <n v="193.30000000000001"/>
        <n v="363.77999999999997"/>
        <n v="687.03999999999996"/>
        <n v="-83.379999999999995"/>
        <n v="80.260000000000005"/>
        <n v="486.82999999999998"/>
        <n v="-184.55000000000001"/>
        <n v="-64.159999999999997"/>
        <n v="-92.489999999999995"/>
        <n v="-351.35000000000002"/>
        <n v="22.199999999999999"/>
        <n v="-754.73000000000002"/>
        <n v="-427.44999999999999"/>
        <n v="693.24000000000001"/>
        <n v="13.550000000000001"/>
        <n v="111.15000000000001"/>
        <n v="-792.30999999999995"/>
        <n v="909.49000000000001"/>
        <n v="-962.5"/>
        <n v="34.689999999999998"/>
        <n v="-3.1299999999999999"/>
        <n v="-96.579999999999998"/>
        <n v="109.90000000000001"/>
        <n v="-182.03999999999999"/>
        <n v="-296.95999999999998"/>
        <n v="734.34000000000003"/>
        <n v="47.450000000000003"/>
        <n v="119.26000000000001"/>
        <n v="-244.03"/>
        <n v="-508.17000000000002"/>
        <n v="177.36000000000001"/>
        <n v="912.38999999999999"/>
        <n v="-152.30000000000001"/>
        <n v="91.519999999999996"/>
        <n v="-349.17000000000002"/>
        <n v="-61.82"/>
        <n v="5.0199999999999996"/>
        <n v="-111.36"/>
        <n v="91.189999999999998"/>
        <n v="-218.33000000000001"/>
        <n v="80.870000000000005"/>
        <n v="-67.959999999999994"/>
        <n v="96.280000000000001"/>
        <n v="-9.0800000000000001"/>
        <n v="45.689999999999998"/>
        <n v="-50.619999999999997"/>
        <n v="152.88"/>
        <n v="-697.05999999999995"/>
        <n v="159.53"/>
        <n v="-89.900000000000006"/>
        <n v="-40.259999999999998"/>
        <n v="168.96000000000001"/>
        <n v="-227.52000000000001"/>
        <n v="-11.65"/>
        <n v="42.770000000000003"/>
        <n v="336.62"/>
        <n v="186.69"/>
        <n v="55.880000000000003"/>
        <n v="11.390000000000001"/>
        <n v="10.83"/>
        <n v="513.75"/>
        <n v="-27.579999999999998"/>
        <n v="13.619999999999999"/>
        <n v="225.87"/>
        <n v="-505.25999999999999"/>
        <n v="-16.649999999999999"/>
        <n v="63.030000000000001"/>
        <n v="-97.609999999999999"/>
        <n v="-201.06"/>
        <n v="623.32000000000005"/>
        <n v="-35.560000000000002"/>
        <n v="-144.53"/>
        <n v="129.21000000000001"/>
        <n v="716.37"/>
        <n v="-183.47999999999999"/>
        <n v="49.020000000000003"/>
        <n v="-175.21000000000001"/>
        <n v="290.66000000000003"/>
        <n v="-352.51999999999998"/>
        <n v="-12.41"/>
        <n v="-350.95999999999998"/>
        <n v="95.629999999999995"/>
        <n v="17.68"/>
        <n v="292.49000000000001"/>
        <n v="0.75"/>
        <n v="-169.90000000000001"/>
        <n v="158.61000000000001"/>
        <n v="1302.7"/>
        <n v="-191.81"/>
        <n v="1094.4000000000001"/>
        <n v="266.06999999999999"/>
        <n v="0.68000000000000005"/>
        <n v="-311.87"/>
        <n v="12.460000000000001"/>
        <n v="301.31"/>
        <n v="-35.030000000000001"/>
        <n v="-37.280000000000001"/>
        <n v="-72.629999999999995"/>
        <n v="-19.73"/>
        <n v="111.06"/>
        <n v="-242.62"/>
        <n v="38.340000000000003"/>
        <n v="-88.700000000000003"/>
        <n v="180.66999999999999"/>
        <n v="357.42000000000002"/>
        <n v="140.19999999999999"/>
        <n v="714.44000000000005"/>
        <n v="26.09"/>
        <n v="28.989999999999998"/>
        <n v="5.6600000000000001"/>
        <n v="477.37"/>
        <n v="-57.920000000000002"/>
        <n v="-39.159999999999997"/>
        <n v="-1.8500000000000001"/>
        <n v="-113.70999999999999"/>
        <n v="47.68"/>
        <n v="1.4399999999999999"/>
        <n v="6.5"/>
        <n v="-236.63999999999999"/>
        <n v="-197.59999999999999"/>
        <n v="243.41999999999999"/>
        <n v="16.530000000000001"/>
        <n v="-98.650000000000006"/>
        <n v="-47.140000000000001"/>
        <n v="-225.78"/>
        <n v="121.01000000000001"/>
        <n v="-324.12"/>
        <n v="66.640000000000001"/>
        <n v="-18.489999999999998"/>
        <n v="0.27000000000000002"/>
        <n v="-551.00999999999999"/>
        <n v="20.640000000000001"/>
        <n v="33.439999999999998"/>
        <n v="74.390000000000001"/>
        <n v="-148.83000000000001"/>
        <n v="-57.659999999999997"/>
        <n v="166.59"/>
        <n v="-18.210000000000001"/>
        <n v="543.23000000000002"/>
        <n v="-771.69000000000005"/>
        <n v="58.460000000000001"/>
        <n v="143.13"/>
        <n v="-22.969999999999999"/>
        <n v="0.40000000000000002"/>
        <n v="-981.75"/>
        <n v="12.359999999999999"/>
        <n v="-355.44999999999999"/>
        <n v="-180.31"/>
        <n v="20.010000000000002"/>
        <n v="-200.22999999999999"/>
        <n v="-135.24000000000001"/>
        <n v="13.02"/>
        <n v="283.91000000000003"/>
        <n v="-243.80000000000001"/>
        <n v="334.55000000000001"/>
        <n v="-411.17000000000002"/>
        <n v="-28.129999999999999"/>
        <n v="903.13"/>
        <n v="-52.890000000000001"/>
        <n v="80.239999999999995"/>
        <n v="-16.300000000000001"/>
        <n v="-193.66"/>
        <n v="255.55000000000001"/>
        <n v="4.2999999999999998"/>
        <n v="30.649999999999999"/>
        <n v="-9.6899999999999995"/>
        <n v="-494.48000000000002"/>
        <n v="-67.299999999999997"/>
        <n v="-530.24000000000001"/>
        <n v="-121.7"/>
        <n v="-124.33"/>
        <n v="118.78"/>
        <n v="406.35000000000002"/>
        <n v="-307.74000000000001"/>
        <n v="-34.670000000000002"/>
        <n v="72.310000000000002"/>
        <n v="53.789999999999999"/>
        <n v="-320.67000000000002"/>
        <n v="-203.91999999999999"/>
        <n v="91.420000000000002"/>
        <n v="-58.32"/>
        <n v="-13.199999999999999"/>
        <n v="-75.319999999999993"/>
        <n v="79.420000000000002"/>
        <n v="-74.780000000000001"/>
        <n v="85.459999999999994"/>
        <n v="-42.159999999999997"/>
        <n v="8.9499999999999993"/>
        <n v="533.47000000000003"/>
        <n v="71.069999999999993"/>
        <n v="-27.809999999999999"/>
        <n v="-133.86000000000001"/>
        <n v="133"/>
        <n v="115.76000000000001"/>
        <n v="-27.449999999999999"/>
        <n v="258.17000000000002"/>
        <n v="-646.74000000000001"/>
        <n v="-127.90000000000001"/>
        <n v="322.06999999999999"/>
        <n v="27.079999999999998"/>
        <n v="-92.569999999999993"/>
        <n v="22.789999999999999"/>
        <n v="-1191.71"/>
        <n v="-122.84999999999999"/>
        <n v="51.670000000000002"/>
        <n v="-38.219999999999999"/>
        <n v="229.19999999999999"/>
        <n v="-224.44"/>
        <n v="48.950000000000003"/>
        <n v="284.56999999999999"/>
        <n v="616.21000000000004"/>
        <n v="15.66"/>
        <n v="359.33999999999997"/>
        <n v="-113.58"/>
        <n v="-33.18"/>
        <n v="62.619999999999997"/>
        <n v="-304.31999999999999"/>
        <n v="51.07"/>
        <n v="95.489999999999995"/>
        <n v="-16.440000000000001"/>
        <n v="691.21000000000004"/>
        <n v="-43.740000000000002"/>
        <n v="-1238.54"/>
        <n v="-128.05000000000001"/>
        <n v="418.33999999999997"/>
        <n v="111.87"/>
        <n v="117.69"/>
        <n v="-32.07"/>
        <n v="-115"/>
        <n v="-23.879999999999999"/>
        <n v="82.650000000000006"/>
        <n v="33.729999999999997"/>
        <n v="-1.8600000000000001"/>
        <n v="1.1599999999999999"/>
        <n v="452.19999999999999"/>
        <n v="-0.39000000000000001"/>
        <n v="106.03"/>
        <n v="55.700000000000003"/>
        <n v="77.310000000000002"/>
        <n v="18.34"/>
        <n v="-601.62"/>
        <n v="85.650000000000006"/>
        <n v="90.150000000000006"/>
        <n v="7.2800000000000002"/>
        <n v="129.81"/>
        <n v="555.22000000000003"/>
        <n v="-521.21000000000004"/>
        <n v="63.850000000000001"/>
        <n v="407.42000000000002"/>
        <n v="68.769999999999996"/>
        <n v="-7.2000000000000002"/>
        <n v="262.44999999999999"/>
        <n v="-28.690000000000001"/>
        <n v="-69.819999999999993"/>
        <n v="-112.01000000000001"/>
        <n v="-96.680000000000007"/>
        <n v="17.920000000000002"/>
        <n v="44.210000000000001"/>
        <n v="-63.149999999999999"/>
        <n v="-473.80000000000001"/>
        <n v="-37.509999999999998"/>
        <n v="-15.66"/>
        <n v="11.109999999999999"/>
        <n v="154.50999999999999"/>
        <n v="-60.270000000000003"/>
        <n v="-21.739999999999998"/>
        <n v="-184.78"/>
        <n v="23.940000000000001"/>
        <n v="-209.80000000000001"/>
        <n v="-54.5"/>
        <n v="-4.54"/>
        <n v="-177.74000000000001"/>
        <n v="-19.719999999999999"/>
        <n v="-19.079999999999998"/>
        <n v="-70.439999999999998"/>
        <n v="-28.48"/>
        <n v="70.579999999999998"/>
        <n v="22.82"/>
        <n v="66.280000000000001"/>
        <n v="41.25"/>
        <n v="76.680000000000007"/>
        <n v="-884.26999999999998"/>
        <n v="-443.11000000000001"/>
        <n v="-107.48999999999999"/>
        <n v="93.980000000000004"/>
        <n v="2.9700000000000002"/>
        <n v="-333.07999999999998"/>
        <n v="-125.66"/>
        <n v="-55.07"/>
        <n v="-85.140000000000001"/>
        <n v="26.149999999999999"/>
        <n v="-212.49000000000001"/>
        <n v="-192.69999999999999"/>
        <n v="-376"/>
        <n v="-11.32"/>
        <n v="-39.329999999999998"/>
        <n v="-93.909999999999997"/>
        <n v="970.38999999999999"/>
        <n v="101.15000000000001"/>
        <n v="100.18000000000001"/>
        <n v="-291.33999999999997"/>
        <n v="0.02"/>
        <n v="2.0800000000000001"/>
        <n v="190.25"/>
        <n v="58.57"/>
        <n v="-78.390000000000001"/>
        <n v="27.210000000000001"/>
        <n v="21.879999999999999"/>
        <n v="334.45999999999998"/>
        <n v="-1330.74"/>
        <n v="198.94"/>
        <n v="-117.70999999999999"/>
        <n v="-61.149999999999999"/>
        <n v="-14.52"/>
        <n v="374.69"/>
        <n v="-50.159999999999997"/>
        <n v="36.299999999999997"/>
        <n v="312.56999999999999"/>
        <n v="-379.31999999999999"/>
        <n v="11.23"/>
        <n v="-9.3100000000000005"/>
        <n v="-83.049999999999997"/>
        <n v="-188.66"/>
        <n v="-12.18"/>
        <n v="-9.3699999999999992"/>
        <n v="241.47999999999999"/>
        <n v="43.5"/>
        <n v="-259.54000000000002"/>
        <n v="881.74000000000001"/>
        <n v="56.729999999999997"/>
        <n v="-14.9"/>
        <n v="41.240000000000002"/>
        <n v="18.800000000000001"/>
        <n v="-205.5"/>
        <n v="1580.6300000000001"/>
        <n v="94.019999999999996"/>
        <n v="-130.22999999999999"/>
        <n v="-275.64999999999998"/>
        <n v="37.020000000000003"/>
        <n v="24.440000000000001"/>
        <n v="39.030000000000001"/>
        <n v="-410.56"/>
        <n v="21.100000000000001"/>
        <n v="-1410.4300000000001"/>
        <n v="718.07000000000005"/>
        <n v="-251.74000000000001"/>
        <n v="365.32999999999998"/>
        <n v="-16.59"/>
        <n v="-37.359999999999999"/>
        <n v="145.80000000000001"/>
        <n v="-609.75999999999999"/>
        <n v="13.460000000000001"/>
        <n v="-39.670000000000002"/>
        <n v="-141.06"/>
        <n v="-8.7699999999999996"/>
        <n v="-540.88999999999999"/>
        <n v="-313.17000000000002"/>
        <n v="228.93000000000001"/>
        <n v="125.12"/>
        <n v="-264.23000000000002"/>
        <n v="46.090000000000003"/>
        <n v="-25.859999999999999"/>
        <n v="85.269999999999996"/>
        <n v="15.32"/>
        <n v="31.41"/>
        <n v="59.960000000000001"/>
        <n v="-100.72"/>
        <n v="66.900000000000006"/>
        <n v="-235.44"/>
        <n v="-221.97999999999999"/>
        <n v="-63.780000000000001"/>
        <n v="19.829999999999998"/>
        <n v="-97.120000000000005"/>
        <n v="122.20999999999999"/>
        <n v="-48.670000000000002"/>
        <n v="-21.41"/>
        <n v="-535.75999999999999"/>
        <n v="12.77"/>
        <n v="21.719999999999999"/>
        <n v="-7.5999999999999996"/>
        <n v="-54.25"/>
        <n v="-80.390000000000001"/>
        <n v="736.83000000000004"/>
        <n v="-34.560000000000002"/>
        <n v="-19.16"/>
        <n v="7.3899999999999997"/>
        <n v="43.539999999999999"/>
        <n v="-43.909999999999997"/>
        <n v="-43.710000000000001"/>
        <n v="39.780000000000001"/>
        <n v="-96.349999999999994"/>
        <n v="20.609999999999999"/>
        <n v="260.33999999999997"/>
        <n v="-24.460000000000001"/>
        <n v="-46.229999999999997"/>
        <n v="-278.29000000000002"/>
        <n v="39.560000000000002"/>
        <n v="76.900000000000006"/>
        <n v="61.090000000000003"/>
        <n v="367.58999999999997"/>
        <n v="84.510000000000005"/>
        <n v="-193.02000000000001"/>
        <n v="-13.25"/>
        <n v="20.170000000000002"/>
        <n v="11.41"/>
        <n v="63.490000000000002"/>
        <n v="-600.65999999999997"/>
        <n v="-6.1500000000000004"/>
        <n v="-13.57"/>
        <n v="15"/>
        <n v="-1.1100000000000001"/>
        <n v="25.579999999999998"/>
        <n v="30.289999999999999"/>
        <n v="215.00999999999999"/>
        <n v="22.239999999999998"/>
        <n v="-448.67000000000002"/>
        <n v="0.69999999999999996"/>
        <n v="6.1100000000000003"/>
        <n v="-180.24000000000001"/>
        <n v="-51.810000000000002"/>
        <n v="31.879999999999999"/>
        <n v="-47.409999999999997"/>
        <n v="223.22"/>
        <n v="24.559999999999999"/>
        <n v="-319.80000000000001"/>
        <n v="31.57"/>
        <n v="246.19999999999999"/>
        <n v="722.40999999999997"/>
        <n v="-722.30999999999995"/>
        <n v="19.09"/>
        <n v="-38.600000000000001"/>
        <n v="-21.190000000000001"/>
        <n v="177.47"/>
        <n v="-278.13999999999999"/>
        <n v="17.210000000000001"/>
        <n v="-99.180000000000007"/>
        <n v="-200.72"/>
        <n v="-104.91"/>
        <n v="28.030000000000001"/>
        <n v="24.620000000000001"/>
        <n v="-58.380000000000003"/>
        <n v="101.59"/>
        <n v="-127.34999999999999"/>
        <n v="-536.02999999999997"/>
        <n v="39.869999999999997"/>
        <n v="-112.69"/>
        <n v="-89.540000000000006"/>
        <n v="-107.75"/>
        <n v="-225.15000000000001"/>
        <n v="268.67000000000002"/>
        <n v="-25.760000000000002"/>
        <n v="-100.76000000000001"/>
        <n v="-717.48000000000002"/>
        <n v="33.479999999999997"/>
        <n v="-44.719999999999999"/>
        <n v="54.600000000000001"/>
        <n v="33.850000000000001"/>
        <n v="-526.35000000000002"/>
        <n v="-196.71000000000001"/>
        <n v="-62.549999999999997"/>
        <n v="36.759999999999998"/>
        <n v="6.5899999999999999"/>
        <n v="158.99000000000001"/>
      </sharedItems>
    </cacheField>
    <cacheField name="Shipping Mode" numFmtId="0">
      <sharedItems count="4">
        <s v="Same Day"/>
        <s v="Second Class"/>
        <s v="Standard Class"/>
        <s v="First Class"/>
      </sharedItems>
    </cacheField>
    <cacheField name="Profit Margin" numFmtId="0" formula=" Profit / 'Total Sales'" databaseField="0"/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:id="rId1" refreshedBy="Manzur Rahman" refreshedDate="46136.9177369907" createdVersion="5" recordCount="1000">
  <cacheSource type="worksheet">
    <worksheetSource sheet="Raw Sales Data" ref="$A$2:$M$1002"/>
  </cacheSource>
  <cacheFields count="13">
    <cacheField name="Order Date" numFmtId="0">
      <sharedItems containsSemiMixedTypes="0" containsNonDate="0" containsDate="1" containsString="0" minDate="2023-01-01T00:00:00" maxDate="2024-01-01T00:00:00" count="345">
        <d v="2023-10-20T00:00:00"/>
        <d v="2023-04-07T00:00:00"/>
        <d v="2023-03-06T00:00:00"/>
        <d v="2023-01-23T00:00:00"/>
        <d v="2023-01-10T00:00:00"/>
        <d v="2023-04-23T00:00:00"/>
        <d v="2023-08-12T00:00:00"/>
        <d v="2023-12-08T00:00:00"/>
        <d v="2023-12-12T00:00:00"/>
        <d v="2023-06-26T00:00:00"/>
        <d v="2023-03-02T00:00:00"/>
        <d v="2023-12-21T00:00:00"/>
        <d v="2023-12-31T00:00:00"/>
        <d v="2023-02-05T00:00:00"/>
        <d v="2023-08-02T00:00:00"/>
        <d v="2023-05-04T00:00:00"/>
        <d v="2023-08-23T00:00:00"/>
        <d v="2023-05-02T00:00:00"/>
        <d v="2023-01-03T00:00:00"/>
        <d v="2023-09-14T00:00:00"/>
        <d v="2023-07-11T00:00:00"/>
        <d v="2023-12-26T00:00:00"/>
        <d v="2023-07-01T00:00:00"/>
        <d v="2023-09-24T00:00:00"/>
        <d v="2023-05-09T00:00:00"/>
        <d v="2023-03-13T00:00:00"/>
        <d v="2023-09-06T00:00:00"/>
        <d v="2023-06-05T00:00:00"/>
        <d v="2023-04-26T00:00:00"/>
        <d v="2023-06-02T00:00:00"/>
        <d v="2023-06-09T00:00:00"/>
        <d v="2023-08-17T00:00:00"/>
        <d v="2023-11-23T00:00:00"/>
        <d v="2023-06-04T00:00:00"/>
        <d v="2023-01-15T00:00:00"/>
        <d v="2023-04-13T00:00:00"/>
        <d v="2023-10-27T00:00:00"/>
        <d v="2023-05-29T00:00:00"/>
        <d v="2023-10-08T00:00:00"/>
        <d v="2023-10-15T00:00:00"/>
        <d v="2023-02-24T00:00:00"/>
        <d v="2023-09-25T00:00:00"/>
        <d v="2023-08-28T00:00:00"/>
        <d v="2023-10-24T00:00:00"/>
        <d v="2023-03-24T00:00:00"/>
        <d v="2023-10-17T00:00:00"/>
        <d v="2023-09-23T00:00:00"/>
        <d v="2023-04-11T00:00:00"/>
        <d v="2023-08-25T00:00:00"/>
        <d v="2023-10-21T00:00:00"/>
        <d v="2023-10-25T00:00:00"/>
        <d v="2023-11-30T00:00:00"/>
        <d v="2023-10-07T00:00:00"/>
        <d v="2023-04-15T00:00:00"/>
        <d v="2023-06-24T00:00:00"/>
        <d v="2023-05-14T00:00:00"/>
        <d v="2023-10-09T00:00:00"/>
        <d v="2023-07-25T00:00:00"/>
        <d v="2023-01-09T00:00:00"/>
        <d v="2023-06-22T00:00:00"/>
        <d v="2023-06-07T00:00:00"/>
        <d v="2023-03-05T00:00:00"/>
        <d v="2023-09-09T00:00:00"/>
        <d v="2023-12-24T00:00:00"/>
        <d v="2023-02-10T00:00:00"/>
        <d v="2023-01-11T00:00:00"/>
        <d v="2023-02-07T00:00:00"/>
        <d v="2023-03-26T00:00:00"/>
        <d v="2023-07-02T00:00:00"/>
        <d v="2023-04-12T00:00:00"/>
        <d v="2023-11-20T00:00:00"/>
        <d v="2023-09-15T00:00:00"/>
        <d v="2023-08-08T00:00:00"/>
        <d v="2023-12-27T00:00:00"/>
        <d v="2023-01-06T00:00:00"/>
        <d v="2023-02-26T00:00:00"/>
        <d v="2023-01-04T00:00:00"/>
        <d v="2023-10-13T00:00:00"/>
        <d v="2023-07-03T00:00:00"/>
        <d v="2023-03-22T00:00:00"/>
        <d v="2023-12-11T00:00:00"/>
        <d v="2023-09-13T00:00:00"/>
        <d v="2023-01-31T00:00:00"/>
        <d v="2023-05-03T00:00:00"/>
        <d v="2023-12-01T00:00:00"/>
        <d v="2023-03-15T00:00:00"/>
        <d v="2023-10-03T00:00:00"/>
        <d v="2023-01-25T00:00:00"/>
        <d v="2023-03-01T00:00:00"/>
        <d v="2023-03-07T00:00:00"/>
        <d v="2023-03-28T00:00:00"/>
        <d v="2023-10-10T00:00:00"/>
        <d v="2023-12-06T00:00:00"/>
        <d v="2023-05-13T00:00:00"/>
        <d v="2023-06-06T00:00:00"/>
        <d v="2023-03-08T00:00:00"/>
        <d v="2023-09-30T00:00:00"/>
        <d v="2023-09-22T00:00:00"/>
        <d v="2023-09-10T00:00:00"/>
        <d v="2023-12-05T00:00:00"/>
        <d v="2023-11-22T00:00:00"/>
        <d v="2023-09-12T00:00:00"/>
        <d v="2023-09-29T00:00:00"/>
        <d v="2023-06-13T00:00:00"/>
        <d v="2023-03-19T00:00:00"/>
        <d v="2023-01-01T00:00:00"/>
        <d v="2023-03-21T00:00:00"/>
        <d v="2023-02-18T00:00:00"/>
        <d v="2023-05-22T00:00:00"/>
        <d v="2023-03-09T00:00:00"/>
        <d v="2023-10-05T00:00:00"/>
        <d v="2023-08-20T00:00:00"/>
        <d v="2023-05-16T00:00:00"/>
        <d v="2023-11-15T00:00:00"/>
        <d v="2023-05-15T00:00:00"/>
        <d v="2023-04-18T00:00:00"/>
        <d v="2023-11-04T00:00:00"/>
        <d v="2023-11-06T00:00:00"/>
        <d v="2023-04-08T00:00:00"/>
        <d v="2023-09-07T00:00:00"/>
        <d v="2023-09-20T00:00:00"/>
        <d v="2023-04-22T00:00:00"/>
        <d v="2023-02-27T00:00:00"/>
        <d v="2023-07-13T00:00:00"/>
        <d v="2023-04-29T00:00:00"/>
        <d v="2023-12-04T00:00:00"/>
        <d v="2023-01-08T00:00:00"/>
        <d v="2023-06-01T00:00:00"/>
        <d v="2023-06-29T00:00:00"/>
        <d v="2023-01-30T00:00:00"/>
        <d v="2023-07-06T00:00:00"/>
        <d v="2023-03-25T00:00:00"/>
        <d v="2023-11-16T00:00:00"/>
        <d v="2023-04-10T00:00:00"/>
        <d v="2023-05-21T00:00:00"/>
        <d v="2023-05-24T00:00:00"/>
        <d v="2023-02-28T00:00:00"/>
        <d v="2023-06-21T00:00:00"/>
        <d v="2023-11-05T00:00:00"/>
        <d v="2023-08-07T00:00:00"/>
        <d v="2023-02-23T00:00:00"/>
        <d v="2023-03-27T00:00:00"/>
        <d v="2023-10-19T00:00:00"/>
        <d v="2023-06-28T00:00:00"/>
        <d v="2023-04-16T00:00:00"/>
        <d v="2023-02-12T00:00:00"/>
        <d v="2023-04-03T00:00:00"/>
        <d v="2023-07-12T00:00:00"/>
        <d v="2023-01-24T00:00:00"/>
        <d v="2023-11-28T00:00:00"/>
        <d v="2023-07-04T00:00:00"/>
        <d v="2023-10-04T00:00:00"/>
        <d v="2023-03-29T00:00:00"/>
        <d v="2023-06-15T00:00:00"/>
        <d v="2023-10-06T00:00:00"/>
        <d v="2023-02-16T00:00:00"/>
        <d v="2023-12-20T00:00:00"/>
        <d v="2023-09-27T00:00:00"/>
        <d v="2023-10-16T00:00:00"/>
        <d v="2023-09-28T00:00:00"/>
        <d v="2023-04-09T00:00:00"/>
        <d v="2023-09-19T00:00:00"/>
        <d v="2023-04-14T00:00:00"/>
        <d v="2023-12-17T00:00:00"/>
        <d v="2023-11-11T00:00:00"/>
        <d v="2023-07-09T00:00:00"/>
        <d v="2023-12-29T00:00:00"/>
        <d v="2023-04-25T00:00:00"/>
        <d v="2023-05-28T00:00:00"/>
        <d v="2023-12-09T00:00:00"/>
        <d v="2023-12-07T00:00:00"/>
        <d v="2023-12-03T00:00:00"/>
        <d v="2023-07-18T00:00:00"/>
        <d v="2023-11-24T00:00:00"/>
        <d v="2023-08-01T00:00:00"/>
        <d v="2023-05-26T00:00:00"/>
        <d v="2023-06-23T00:00:00"/>
        <d v="2023-04-06T00:00:00"/>
        <d v="2023-01-07T00:00:00"/>
        <d v="2023-03-30T00:00:00"/>
        <d v="2023-04-01T00:00:00"/>
        <d v="2023-04-28T00:00:00"/>
        <d v="2023-10-30T00:00:00"/>
        <d v="2023-07-30T00:00:00"/>
        <d v="2023-10-29T00:00:00"/>
        <d v="2023-01-17T00:00:00"/>
        <d v="2023-05-06T00:00:00"/>
        <d v="2023-08-18T00:00:00"/>
        <d v="2023-02-01T00:00:00"/>
        <d v="2023-04-21T00:00:00"/>
        <d v="2023-04-20T00:00:00"/>
        <d v="2023-09-05T00:00:00"/>
        <d v="2023-11-10T00:00:00"/>
        <d v="2023-01-19T00:00:00"/>
        <d v="2023-06-25T00:00:00"/>
        <d v="2023-04-17T00:00:00"/>
        <d v="2023-06-17T00:00:00"/>
        <d v="2023-08-29T00:00:00"/>
        <d v="2023-06-14T00:00:00"/>
        <d v="2023-08-05T00:00:00"/>
        <d v="2023-05-08T00:00:00"/>
        <d v="2023-05-31T00:00:00"/>
        <d v="2023-07-27T00:00:00"/>
        <d v="2023-02-20T00:00:00"/>
        <d v="2023-01-20T00:00:00"/>
        <d v="2023-03-23T00:00:00"/>
        <d v="2023-11-27T00:00:00"/>
        <d v="2023-07-08T00:00:00"/>
        <d v="2023-10-12T00:00:00"/>
        <d v="2023-04-27T00:00:00"/>
        <d v="2023-06-18T00:00:00"/>
        <d v="2023-05-23T00:00:00"/>
        <d v="2023-12-19T00:00:00"/>
        <d v="2023-06-12T00:00:00"/>
        <d v="2023-11-03T00:00:00"/>
        <d v="2023-09-17T00:00:00"/>
        <d v="2023-08-26T00:00:00"/>
        <d v="2023-02-21T00:00:00"/>
        <d v="2023-04-04T00:00:00"/>
        <d v="2023-01-22T00:00:00"/>
        <d v="2023-08-21T00:00:00"/>
        <d v="2023-03-03T00:00:00"/>
        <d v="2023-12-28T00:00:00"/>
        <d v="2023-01-18T00:00:00"/>
        <d v="2023-08-06T00:00:00"/>
        <d v="2023-08-22T00:00:00"/>
        <d v="2023-11-02T00:00:00"/>
        <d v="2023-04-05T00:00:00"/>
        <d v="2023-12-16T00:00:00"/>
        <d v="2023-02-25T00:00:00"/>
        <d v="2023-10-31T00:00:00"/>
        <d v="2023-09-18T00:00:00"/>
        <d v="2023-08-09T00:00:00"/>
        <d v="2023-08-03T00:00:00"/>
        <d v="2023-01-28T00:00:00"/>
        <d v="2023-04-19T00:00:00"/>
        <d v="2023-11-14T00:00:00"/>
        <d v="2023-07-24T00:00:00"/>
        <d v="2023-12-14T00:00:00"/>
        <d v="2023-06-20T00:00:00"/>
        <d v="2023-10-18T00:00:00"/>
        <d v="2023-05-18T00:00:00"/>
        <d v="2023-11-21T00:00:00"/>
        <d v="2023-03-14T00:00:00"/>
        <d v="2023-08-13T00:00:00"/>
        <d v="2023-07-21T00:00:00"/>
        <d v="2023-05-07T00:00:00"/>
        <d v="2023-03-20T00:00:00"/>
        <d v="2023-02-06T00:00:00"/>
        <d v="2023-05-01T00:00:00"/>
        <d v="2023-12-10T00:00:00"/>
        <d v="2023-06-27T00:00:00"/>
        <d v="2023-08-10T00:00:00"/>
        <d v="2023-05-12T00:00:00"/>
        <d v="2023-08-04T00:00:00"/>
        <d v="2023-12-30T00:00:00"/>
        <d v="2023-09-16T00:00:00"/>
        <d v="2023-01-21T00:00:00"/>
        <d v="2023-08-14T00:00:00"/>
        <d v="2023-02-14T00:00:00"/>
        <d v="2023-02-09T00:00:00"/>
        <d v="2023-07-29T00:00:00"/>
        <d v="2023-11-07T00:00:00"/>
        <d v="2023-11-19T00:00:00"/>
        <d v="2023-09-26T00:00:00"/>
        <d v="2023-08-24T00:00:00"/>
        <d v="2023-03-31T00:00:00"/>
        <d v="2023-02-03T00:00:00"/>
        <d v="2023-01-27T00:00:00"/>
        <d v="2023-01-29T00:00:00"/>
        <d v="2023-03-11T00:00:00"/>
        <d v="2023-12-23T00:00:00"/>
        <d v="2023-08-19T00:00:00"/>
        <d v="2023-11-08T00:00:00"/>
        <d v="2023-07-31T00:00:00"/>
        <d v="2023-09-01T00:00:00"/>
        <d v="2023-03-10T00:00:00"/>
        <d v="2023-02-13T00:00:00"/>
        <d v="2023-07-14T00:00:00"/>
        <d v="2023-10-23T00:00:00"/>
        <d v="2023-05-17T00:00:00"/>
        <d v="2023-11-26T00:00:00"/>
        <d v="2023-08-11T00:00:00"/>
        <d v="2023-07-22T00:00:00"/>
        <d v="2023-11-29T00:00:00"/>
        <d v="2023-09-03T00:00:00"/>
        <d v="2023-05-05T00:00:00"/>
        <d v="2023-06-11T00:00:00"/>
        <d v="2023-09-02T00:00:00"/>
        <d v="2023-04-24T00:00:00"/>
        <d v="2023-09-08T00:00:00"/>
        <d v="2023-06-03T00:00:00"/>
        <d v="2023-11-09T00:00:00"/>
        <d v="2023-02-15T00:00:00"/>
        <d v="2023-10-01T00:00:00"/>
        <d v="2023-03-12T00:00:00"/>
        <d v="2023-09-21T00:00:00"/>
        <d v="2023-11-25T00:00:00"/>
        <d v="2023-07-23T00:00:00"/>
        <d v="2023-10-26T00:00:00"/>
        <d v="2023-02-19T00:00:00"/>
        <d v="2023-07-05T00:00:00"/>
        <d v="2023-01-14T00:00:00"/>
        <d v="2023-02-04T00:00:00"/>
        <d v="2023-10-22T00:00:00"/>
        <d v="2023-08-27T00:00:00"/>
        <d v="2023-06-08T00:00:00"/>
        <d v="2023-07-07T00:00:00"/>
        <d v="2023-05-19T00:00:00"/>
        <d v="2023-02-17T00:00:00"/>
        <d v="2023-07-19T00:00:00"/>
        <d v="2023-11-18T00:00:00"/>
        <d v="2023-07-28T00:00:00"/>
        <d v="2023-12-15T00:00:00"/>
        <d v="2023-08-16T00:00:00"/>
        <d v="2023-02-02T00:00:00"/>
        <d v="2023-12-18T00:00:00"/>
        <d v="2023-11-17T00:00:00"/>
        <d v="2023-06-30T00:00:00"/>
        <d v="2023-03-17T00:00:00"/>
        <d v="2023-01-26T00:00:00"/>
        <d v="2023-11-12T00:00:00"/>
        <d v="2023-06-16T00:00:00"/>
        <d v="2023-07-20T00:00:00"/>
        <d v="2023-09-04T00:00:00"/>
        <d v="2023-10-02T00:00:00"/>
        <d v="2023-05-11T00:00:00"/>
        <d v="2023-12-13T00:00:00"/>
        <d v="2023-12-25T00:00:00"/>
        <d v="2023-04-30T00:00:00"/>
        <d v="2023-01-05T00:00:00"/>
        <d v="2023-05-27T00:00:00"/>
        <d v="2023-11-01T00:00:00"/>
        <d v="2023-05-25T00:00:00"/>
        <d v="2023-11-13T00:00:00"/>
        <d v="2023-07-10T00:00:00"/>
        <d v="2023-02-11T00:00:00"/>
        <d v="2023-10-11T00:00:00"/>
        <d v="2023-01-02T00:00:00"/>
        <d v="2023-02-08T00:00:00"/>
        <d v="2023-03-18T00:00:00"/>
        <d v="2023-01-13T00:00:00"/>
        <d v="2023-06-19T00:00:00"/>
        <d v="2023-01-16T00:00:00"/>
        <d v="2023-08-30T00:00:00"/>
      </sharedItems>
    </cacheField>
    <cacheField name="Order ID" numFmtId="0">
      <sharedItems count="1000">
        <s v="ORD-1000"/>
        <s v="ORD-1001"/>
        <s v="ORD-1002"/>
        <s v="ORD-1003"/>
        <s v="ORD-1004"/>
        <s v="ORD-1005"/>
        <s v="ORD-1006"/>
        <s v="ORD-1007"/>
        <s v="ORD-1008"/>
        <s v="ORD-1009"/>
        <s v="ORD-1010"/>
        <s v="ORD-1011"/>
        <s v="ORD-1012"/>
        <s v="ORD-1013"/>
        <s v="ORD-1014"/>
        <s v="ORD-1015"/>
        <s v="ORD-1016"/>
        <s v="ORD-1017"/>
        <s v="ORD-1018"/>
        <s v="ORD-1019"/>
        <s v="ORD-1020"/>
        <s v="ORD-1021"/>
        <s v="ORD-1022"/>
        <s v="ORD-1023"/>
        <s v="ORD-1024"/>
        <s v="ORD-1025"/>
        <s v="ORD-1026"/>
        <s v="ORD-1027"/>
        <s v="ORD-1028"/>
        <s v="ORD-1029"/>
        <s v="ORD-1030"/>
        <s v="ORD-1031"/>
        <s v="ORD-1032"/>
        <s v="ORD-1033"/>
        <s v="ORD-1034"/>
        <s v="ORD-1035"/>
        <s v="ORD-1036"/>
        <s v="ORD-1037"/>
        <s v="ORD-1038"/>
        <s v="ORD-1039"/>
        <s v="ORD-1040"/>
        <s v="ORD-1041"/>
        <s v="ORD-1042"/>
        <s v="ORD-1043"/>
        <s v="ORD-1044"/>
        <s v="ORD-1045"/>
        <s v="ORD-1046"/>
        <s v="ORD-1047"/>
        <s v="ORD-1048"/>
        <s v="ORD-1049"/>
        <s v="ORD-1050"/>
        <s v="ORD-1051"/>
        <s v="ORD-1052"/>
        <s v="ORD-1053"/>
        <s v="ORD-1054"/>
        <s v="ORD-1055"/>
        <s v="ORD-1056"/>
        <s v="ORD-1057"/>
        <s v="ORD-1058"/>
        <s v="ORD-1059"/>
        <s v="ORD-1060"/>
        <s v="ORD-1061"/>
        <s v="ORD-1062"/>
        <s v="ORD-1063"/>
        <s v="ORD-1064"/>
        <s v="ORD-1065"/>
        <s v="ORD-1066"/>
        <s v="ORD-1067"/>
        <s v="ORD-1068"/>
        <s v="ORD-1069"/>
        <s v="ORD-1070"/>
        <s v="ORD-1071"/>
        <s v="ORD-1072"/>
        <s v="ORD-1073"/>
        <s v="ORD-1074"/>
        <s v="ORD-1075"/>
        <s v="ORD-1076"/>
        <s v="ORD-1077"/>
        <s v="ORD-1078"/>
        <s v="ORD-1079"/>
        <s v="ORD-1080"/>
        <s v="ORD-1081"/>
        <s v="ORD-1082"/>
        <s v="ORD-1083"/>
        <s v="ORD-1084"/>
        <s v="ORD-1085"/>
        <s v="ORD-1086"/>
        <s v="ORD-1087"/>
        <s v="ORD-1088"/>
        <s v="ORD-1089"/>
        <s v="ORD-1090"/>
        <s v="ORD-1091"/>
        <s v="ORD-1092"/>
        <s v="ORD-1093"/>
        <s v="ORD-1094"/>
        <s v="ORD-1095"/>
        <s v="ORD-1096"/>
        <s v="ORD-1097"/>
        <s v="ORD-1098"/>
        <s v="ORD-1099"/>
        <s v="ORD-1100"/>
        <s v="ORD-1101"/>
        <s v="ORD-1102"/>
        <s v="ORD-1103"/>
        <s v="ORD-1104"/>
        <s v="ORD-1105"/>
        <s v="ORD-1106"/>
        <s v="ORD-1107"/>
        <s v="ORD-1108"/>
        <s v="ORD-1109"/>
        <s v="ORD-1110"/>
        <s v="ORD-1111"/>
        <s v="ORD-1112"/>
        <s v="ORD-1113"/>
        <s v="ORD-1114"/>
        <s v="ORD-1115"/>
        <s v="ORD-1116"/>
        <s v="ORD-1117"/>
        <s v="ORD-1118"/>
        <s v="ORD-1119"/>
        <s v="ORD-1120"/>
        <s v="ORD-1121"/>
        <s v="ORD-1122"/>
        <s v="ORD-1123"/>
        <s v="ORD-1124"/>
        <s v="ORD-1125"/>
        <s v="ORD-1126"/>
        <s v="ORD-1127"/>
        <s v="ORD-1128"/>
        <s v="ORD-1129"/>
        <s v="ORD-1130"/>
        <s v="ORD-1131"/>
        <s v="ORD-1132"/>
        <s v="ORD-1133"/>
        <s v="ORD-1134"/>
        <s v="ORD-1135"/>
        <s v="ORD-1136"/>
        <s v="ORD-1137"/>
        <s v="ORD-1138"/>
        <s v="ORD-1139"/>
        <s v="ORD-1140"/>
        <s v="ORD-1141"/>
        <s v="ORD-1142"/>
        <s v="ORD-1143"/>
        <s v="ORD-1144"/>
        <s v="ORD-1145"/>
        <s v="ORD-1146"/>
        <s v="ORD-1147"/>
        <s v="ORD-1148"/>
        <s v="ORD-1149"/>
        <s v="ORD-1150"/>
        <s v="ORD-1151"/>
        <s v="ORD-1152"/>
        <s v="ORD-1153"/>
        <s v="ORD-1154"/>
        <s v="ORD-1155"/>
        <s v="ORD-1156"/>
        <s v="ORD-1157"/>
        <s v="ORD-1158"/>
        <s v="ORD-1159"/>
        <s v="ORD-1160"/>
        <s v="ORD-1161"/>
        <s v="ORD-1162"/>
        <s v="ORD-1163"/>
        <s v="ORD-1164"/>
        <s v="ORD-1165"/>
        <s v="ORD-1166"/>
        <s v="ORD-1167"/>
        <s v="ORD-1168"/>
        <s v="ORD-1169"/>
        <s v="ORD-1170"/>
        <s v="ORD-1171"/>
        <s v="ORD-1172"/>
        <s v="ORD-1173"/>
        <s v="ORD-1174"/>
        <s v="ORD-1175"/>
        <s v="ORD-1176"/>
        <s v="ORD-1177"/>
        <s v="ORD-1178"/>
        <s v="ORD-1179"/>
        <s v="ORD-1180"/>
        <s v="ORD-1181"/>
        <s v="ORD-1182"/>
        <s v="ORD-1183"/>
        <s v="ORD-1184"/>
        <s v="ORD-1185"/>
        <s v="ORD-1186"/>
        <s v="ORD-1187"/>
        <s v="ORD-1188"/>
        <s v="ORD-1189"/>
        <s v="ORD-1190"/>
        <s v="ORD-1191"/>
        <s v="ORD-1192"/>
        <s v="ORD-1193"/>
        <s v="ORD-1194"/>
        <s v="ORD-1195"/>
        <s v="ORD-1196"/>
        <s v="ORD-1197"/>
        <s v="ORD-1198"/>
        <s v="ORD-1199"/>
        <s v="ORD-1200"/>
        <s v="ORD-1201"/>
        <s v="ORD-1202"/>
        <s v="ORD-1203"/>
        <s v="ORD-1204"/>
        <s v="ORD-1205"/>
        <s v="ORD-1206"/>
        <s v="ORD-1207"/>
        <s v="ORD-1208"/>
        <s v="ORD-1209"/>
        <s v="ORD-1210"/>
        <s v="ORD-1211"/>
        <s v="ORD-1212"/>
        <s v="ORD-1213"/>
        <s v="ORD-1214"/>
        <s v="ORD-1215"/>
        <s v="ORD-1216"/>
        <s v="ORD-1217"/>
        <s v="ORD-1218"/>
        <s v="ORD-1219"/>
        <s v="ORD-1220"/>
        <s v="ORD-1221"/>
        <s v="ORD-1222"/>
        <s v="ORD-1223"/>
        <s v="ORD-1224"/>
        <s v="ORD-1225"/>
        <s v="ORD-1226"/>
        <s v="ORD-1227"/>
        <s v="ORD-1228"/>
        <s v="ORD-1229"/>
        <s v="ORD-1230"/>
        <s v="ORD-1231"/>
        <s v="ORD-1232"/>
        <s v="ORD-1233"/>
        <s v="ORD-1234"/>
        <s v="ORD-1235"/>
        <s v="ORD-1236"/>
        <s v="ORD-1237"/>
        <s v="ORD-1238"/>
        <s v="ORD-1239"/>
        <s v="ORD-1240"/>
        <s v="ORD-1241"/>
        <s v="ORD-1242"/>
        <s v="ORD-1243"/>
        <s v="ORD-1244"/>
        <s v="ORD-1245"/>
        <s v="ORD-1246"/>
        <s v="ORD-1247"/>
        <s v="ORD-1248"/>
        <s v="ORD-1249"/>
        <s v="ORD-1250"/>
        <s v="ORD-1251"/>
        <s v="ORD-1252"/>
        <s v="ORD-1253"/>
        <s v="ORD-1254"/>
        <s v="ORD-1255"/>
        <s v="ORD-1256"/>
        <s v="ORD-1257"/>
        <s v="ORD-1258"/>
        <s v="ORD-1259"/>
        <s v="ORD-1260"/>
        <s v="ORD-1261"/>
        <s v="ORD-1262"/>
        <s v="ORD-1263"/>
        <s v="ORD-1264"/>
        <s v="ORD-1265"/>
        <s v="ORD-1266"/>
        <s v="ORD-1267"/>
        <s v="ORD-1268"/>
        <s v="ORD-1269"/>
        <s v="ORD-1270"/>
        <s v="ORD-1271"/>
        <s v="ORD-1272"/>
        <s v="ORD-1273"/>
        <s v="ORD-1274"/>
        <s v="ORD-1275"/>
        <s v="ORD-1276"/>
        <s v="ORD-1277"/>
        <s v="ORD-1278"/>
        <s v="ORD-1279"/>
        <s v="ORD-1280"/>
        <s v="ORD-1281"/>
        <s v="ORD-1282"/>
        <s v="ORD-1283"/>
        <s v="ORD-1284"/>
        <s v="ORD-1285"/>
        <s v="ORD-1286"/>
        <s v="ORD-1287"/>
        <s v="ORD-1288"/>
        <s v="ORD-1289"/>
        <s v="ORD-1290"/>
        <s v="ORD-1291"/>
        <s v="ORD-1292"/>
        <s v="ORD-1293"/>
        <s v="ORD-1294"/>
        <s v="ORD-1295"/>
        <s v="ORD-1296"/>
        <s v="ORD-1297"/>
        <s v="ORD-1298"/>
        <s v="ORD-1299"/>
        <s v="ORD-1300"/>
        <s v="ORD-1301"/>
        <s v="ORD-1302"/>
        <s v="ORD-1303"/>
        <s v="ORD-1304"/>
        <s v="ORD-1305"/>
        <s v="ORD-1306"/>
        <s v="ORD-1307"/>
        <s v="ORD-1308"/>
        <s v="ORD-1309"/>
        <s v="ORD-1310"/>
        <s v="ORD-1311"/>
        <s v="ORD-1312"/>
        <s v="ORD-1313"/>
        <s v="ORD-1314"/>
        <s v="ORD-1315"/>
        <s v="ORD-1316"/>
        <s v="ORD-1317"/>
        <s v="ORD-1318"/>
        <s v="ORD-1319"/>
        <s v="ORD-1320"/>
        <s v="ORD-1321"/>
        <s v="ORD-1322"/>
        <s v="ORD-1323"/>
        <s v="ORD-1324"/>
        <s v="ORD-1325"/>
        <s v="ORD-1326"/>
        <s v="ORD-1327"/>
        <s v="ORD-1328"/>
        <s v="ORD-1329"/>
        <s v="ORD-1330"/>
        <s v="ORD-1331"/>
        <s v="ORD-1332"/>
        <s v="ORD-1333"/>
        <s v="ORD-1334"/>
        <s v="ORD-1335"/>
        <s v="ORD-1336"/>
        <s v="ORD-1337"/>
        <s v="ORD-1338"/>
        <s v="ORD-1339"/>
        <s v="ORD-1340"/>
        <s v="ORD-1341"/>
        <s v="ORD-1342"/>
        <s v="ORD-1343"/>
        <s v="ORD-1344"/>
        <s v="ORD-1345"/>
        <s v="ORD-1346"/>
        <s v="ORD-1347"/>
        <s v="ORD-1348"/>
        <s v="ORD-1349"/>
        <s v="ORD-1350"/>
        <s v="ORD-1351"/>
        <s v="ORD-1352"/>
        <s v="ORD-1353"/>
        <s v="ORD-1354"/>
        <s v="ORD-1355"/>
        <s v="ORD-1356"/>
        <s v="ORD-1357"/>
        <s v="ORD-1358"/>
        <s v="ORD-1359"/>
        <s v="ORD-1360"/>
        <s v="ORD-1361"/>
        <s v="ORD-1362"/>
        <s v="ORD-1363"/>
        <s v="ORD-1364"/>
        <s v="ORD-1365"/>
        <s v="ORD-1366"/>
        <s v="ORD-1367"/>
        <s v="ORD-1368"/>
        <s v="ORD-1369"/>
        <s v="ORD-1370"/>
        <s v="ORD-1371"/>
        <s v="ORD-1372"/>
        <s v="ORD-1373"/>
        <s v="ORD-1374"/>
        <s v="ORD-1375"/>
        <s v="ORD-1376"/>
        <s v="ORD-1377"/>
        <s v="ORD-1378"/>
        <s v="ORD-1379"/>
        <s v="ORD-1380"/>
        <s v="ORD-1381"/>
        <s v="ORD-1382"/>
        <s v="ORD-1383"/>
        <s v="ORD-1384"/>
        <s v="ORD-1385"/>
        <s v="ORD-1386"/>
        <s v="ORD-1387"/>
        <s v="ORD-1388"/>
        <s v="ORD-1389"/>
        <s v="ORD-1390"/>
        <s v="ORD-1391"/>
        <s v="ORD-1392"/>
        <s v="ORD-1393"/>
        <s v="ORD-1394"/>
        <s v="ORD-1395"/>
        <s v="ORD-1396"/>
        <s v="ORD-1397"/>
        <s v="ORD-1398"/>
        <s v="ORD-1399"/>
        <s v="ORD-1400"/>
        <s v="ORD-1401"/>
        <s v="ORD-1402"/>
        <s v="ORD-1403"/>
        <s v="ORD-1404"/>
        <s v="ORD-1405"/>
        <s v="ORD-1406"/>
        <s v="ORD-1407"/>
        <s v="ORD-1408"/>
        <s v="ORD-1409"/>
        <s v="ORD-1410"/>
        <s v="ORD-1411"/>
        <s v="ORD-1412"/>
        <s v="ORD-1413"/>
        <s v="ORD-1414"/>
        <s v="ORD-1415"/>
        <s v="ORD-1416"/>
        <s v="ORD-1417"/>
        <s v="ORD-1418"/>
        <s v="ORD-1419"/>
        <s v="ORD-1420"/>
        <s v="ORD-1421"/>
        <s v="ORD-1422"/>
        <s v="ORD-1423"/>
        <s v="ORD-1424"/>
        <s v="ORD-1425"/>
        <s v="ORD-1426"/>
        <s v="ORD-1427"/>
        <s v="ORD-1428"/>
        <s v="ORD-1429"/>
        <s v="ORD-1430"/>
        <s v="ORD-1431"/>
        <s v="ORD-1432"/>
        <s v="ORD-1433"/>
        <s v="ORD-1434"/>
        <s v="ORD-1435"/>
        <s v="ORD-1436"/>
        <s v="ORD-1437"/>
        <s v="ORD-1438"/>
        <s v="ORD-1439"/>
        <s v="ORD-1440"/>
        <s v="ORD-1441"/>
        <s v="ORD-1442"/>
        <s v="ORD-1443"/>
        <s v="ORD-1444"/>
        <s v="ORD-1445"/>
        <s v="ORD-1446"/>
        <s v="ORD-1447"/>
        <s v="ORD-1448"/>
        <s v="ORD-1449"/>
        <s v="ORD-1450"/>
        <s v="ORD-1451"/>
        <s v="ORD-1452"/>
        <s v="ORD-1453"/>
        <s v="ORD-1454"/>
        <s v="ORD-1455"/>
        <s v="ORD-1456"/>
        <s v="ORD-1457"/>
        <s v="ORD-1458"/>
        <s v="ORD-1459"/>
        <s v="ORD-1460"/>
        <s v="ORD-1461"/>
        <s v="ORD-1462"/>
        <s v="ORD-1463"/>
        <s v="ORD-1464"/>
        <s v="ORD-1465"/>
        <s v="ORD-1466"/>
        <s v="ORD-1467"/>
        <s v="ORD-1468"/>
        <s v="ORD-1469"/>
        <s v="ORD-1470"/>
        <s v="ORD-1471"/>
        <s v="ORD-1472"/>
        <s v="ORD-1473"/>
        <s v="ORD-1474"/>
        <s v="ORD-1475"/>
        <s v="ORD-1476"/>
        <s v="ORD-1477"/>
        <s v="ORD-1478"/>
        <s v="ORD-1479"/>
        <s v="ORD-1480"/>
        <s v="ORD-1481"/>
        <s v="ORD-1482"/>
        <s v="ORD-1483"/>
        <s v="ORD-1484"/>
        <s v="ORD-1485"/>
        <s v="ORD-1486"/>
        <s v="ORD-1487"/>
        <s v="ORD-1488"/>
        <s v="ORD-1489"/>
        <s v="ORD-1490"/>
        <s v="ORD-1491"/>
        <s v="ORD-1492"/>
        <s v="ORD-1493"/>
        <s v="ORD-1494"/>
        <s v="ORD-1495"/>
        <s v="ORD-1496"/>
        <s v="ORD-1497"/>
        <s v="ORD-1498"/>
        <s v="ORD-1499"/>
        <s v="ORD-1500"/>
        <s v="ORD-1501"/>
        <s v="ORD-1502"/>
        <s v="ORD-1503"/>
        <s v="ORD-1504"/>
        <s v="ORD-1505"/>
        <s v="ORD-1506"/>
        <s v="ORD-1507"/>
        <s v="ORD-1508"/>
        <s v="ORD-1509"/>
        <s v="ORD-1510"/>
        <s v="ORD-1511"/>
        <s v="ORD-1512"/>
        <s v="ORD-1513"/>
        <s v="ORD-1514"/>
        <s v="ORD-1515"/>
        <s v="ORD-1516"/>
        <s v="ORD-1517"/>
        <s v="ORD-1518"/>
        <s v="ORD-1519"/>
        <s v="ORD-1520"/>
        <s v="ORD-1521"/>
        <s v="ORD-1522"/>
        <s v="ORD-1523"/>
        <s v="ORD-1524"/>
        <s v="ORD-1525"/>
        <s v="ORD-1526"/>
        <s v="ORD-1527"/>
        <s v="ORD-1528"/>
        <s v="ORD-1529"/>
        <s v="ORD-1530"/>
        <s v="ORD-1531"/>
        <s v="ORD-1532"/>
        <s v="ORD-1533"/>
        <s v="ORD-1534"/>
        <s v="ORD-1535"/>
        <s v="ORD-1536"/>
        <s v="ORD-1537"/>
        <s v="ORD-1538"/>
        <s v="ORD-1539"/>
        <s v="ORD-1540"/>
        <s v="ORD-1541"/>
        <s v="ORD-1542"/>
        <s v="ORD-1543"/>
        <s v="ORD-1544"/>
        <s v="ORD-1545"/>
        <s v="ORD-1546"/>
        <s v="ORD-1547"/>
        <s v="ORD-1548"/>
        <s v="ORD-1549"/>
        <s v="ORD-1550"/>
        <s v="ORD-1551"/>
        <s v="ORD-1552"/>
        <s v="ORD-1553"/>
        <s v="ORD-1554"/>
        <s v="ORD-1555"/>
        <s v="ORD-1556"/>
        <s v="ORD-1557"/>
        <s v="ORD-1558"/>
        <s v="ORD-1559"/>
        <s v="ORD-1560"/>
        <s v="ORD-1561"/>
        <s v="ORD-1562"/>
        <s v="ORD-1563"/>
        <s v="ORD-1564"/>
        <s v="ORD-1565"/>
        <s v="ORD-1566"/>
        <s v="ORD-1567"/>
        <s v="ORD-1568"/>
        <s v="ORD-1569"/>
        <s v="ORD-1570"/>
        <s v="ORD-1571"/>
        <s v="ORD-1572"/>
        <s v="ORD-1573"/>
        <s v="ORD-1574"/>
        <s v="ORD-1575"/>
        <s v="ORD-1576"/>
        <s v="ORD-1577"/>
        <s v="ORD-1578"/>
        <s v="ORD-1579"/>
        <s v="ORD-1580"/>
        <s v="ORD-1581"/>
        <s v="ORD-1582"/>
        <s v="ORD-1583"/>
        <s v="ORD-1584"/>
        <s v="ORD-1585"/>
        <s v="ORD-1586"/>
        <s v="ORD-1587"/>
        <s v="ORD-1588"/>
        <s v="ORD-1589"/>
        <s v="ORD-1590"/>
        <s v="ORD-1591"/>
        <s v="ORD-1592"/>
        <s v="ORD-1593"/>
        <s v="ORD-1594"/>
        <s v="ORD-1595"/>
        <s v="ORD-1596"/>
        <s v="ORD-1597"/>
        <s v="ORD-1598"/>
        <s v="ORD-1599"/>
        <s v="ORD-1600"/>
        <s v="ORD-1601"/>
        <s v="ORD-1602"/>
        <s v="ORD-1603"/>
        <s v="ORD-1604"/>
        <s v="ORD-1605"/>
        <s v="ORD-1606"/>
        <s v="ORD-1607"/>
        <s v="ORD-1608"/>
        <s v="ORD-1609"/>
        <s v="ORD-1610"/>
        <s v="ORD-1611"/>
        <s v="ORD-1612"/>
        <s v="ORD-1613"/>
        <s v="ORD-1614"/>
        <s v="ORD-1615"/>
        <s v="ORD-1616"/>
        <s v="ORD-1617"/>
        <s v="ORD-1618"/>
        <s v="ORD-1619"/>
        <s v="ORD-1620"/>
        <s v="ORD-1621"/>
        <s v="ORD-1622"/>
        <s v="ORD-1623"/>
        <s v="ORD-1624"/>
        <s v="ORD-1625"/>
        <s v="ORD-1626"/>
        <s v="ORD-1627"/>
        <s v="ORD-1628"/>
        <s v="ORD-1629"/>
        <s v="ORD-1630"/>
        <s v="ORD-1631"/>
        <s v="ORD-1632"/>
        <s v="ORD-1633"/>
        <s v="ORD-1634"/>
        <s v="ORD-1635"/>
        <s v="ORD-1636"/>
        <s v="ORD-1637"/>
        <s v="ORD-1638"/>
        <s v="ORD-1639"/>
        <s v="ORD-1640"/>
        <s v="ORD-1641"/>
        <s v="ORD-1642"/>
        <s v="ORD-1643"/>
        <s v="ORD-1644"/>
        <s v="ORD-1645"/>
        <s v="ORD-1646"/>
        <s v="ORD-1647"/>
        <s v="ORD-1648"/>
        <s v="ORD-1649"/>
        <s v="ORD-1650"/>
        <s v="ORD-1651"/>
        <s v="ORD-1652"/>
        <s v="ORD-1653"/>
        <s v="ORD-1654"/>
        <s v="ORD-1655"/>
        <s v="ORD-1656"/>
        <s v="ORD-1657"/>
        <s v="ORD-1658"/>
        <s v="ORD-1659"/>
        <s v="ORD-1660"/>
        <s v="ORD-1661"/>
        <s v="ORD-1662"/>
        <s v="ORD-1663"/>
        <s v="ORD-1664"/>
        <s v="ORD-1665"/>
        <s v="ORD-1666"/>
        <s v="ORD-1667"/>
        <s v="ORD-1668"/>
        <s v="ORD-1669"/>
        <s v="ORD-1670"/>
        <s v="ORD-1671"/>
        <s v="ORD-1672"/>
        <s v="ORD-1673"/>
        <s v="ORD-1674"/>
        <s v="ORD-1675"/>
        <s v="ORD-1676"/>
        <s v="ORD-1677"/>
        <s v="ORD-1678"/>
        <s v="ORD-1679"/>
        <s v="ORD-1680"/>
        <s v="ORD-1681"/>
        <s v="ORD-1682"/>
        <s v="ORD-1683"/>
        <s v="ORD-1684"/>
        <s v="ORD-1685"/>
        <s v="ORD-1686"/>
        <s v="ORD-1687"/>
        <s v="ORD-1688"/>
        <s v="ORD-1689"/>
        <s v="ORD-1690"/>
        <s v="ORD-1691"/>
        <s v="ORD-1692"/>
        <s v="ORD-1693"/>
        <s v="ORD-1694"/>
        <s v="ORD-1695"/>
        <s v="ORD-1696"/>
        <s v="ORD-1697"/>
        <s v="ORD-1698"/>
        <s v="ORD-1699"/>
        <s v="ORD-1700"/>
        <s v="ORD-1701"/>
        <s v="ORD-1702"/>
        <s v="ORD-1703"/>
        <s v="ORD-1704"/>
        <s v="ORD-1705"/>
        <s v="ORD-1706"/>
        <s v="ORD-1707"/>
        <s v="ORD-1708"/>
        <s v="ORD-1709"/>
        <s v="ORD-1710"/>
        <s v="ORD-1711"/>
        <s v="ORD-1712"/>
        <s v="ORD-1713"/>
        <s v="ORD-1714"/>
        <s v="ORD-1715"/>
        <s v="ORD-1716"/>
        <s v="ORD-1717"/>
        <s v="ORD-1718"/>
        <s v="ORD-1719"/>
        <s v="ORD-1720"/>
        <s v="ORD-1721"/>
        <s v="ORD-1722"/>
        <s v="ORD-1723"/>
        <s v="ORD-1724"/>
        <s v="ORD-1725"/>
        <s v="ORD-1726"/>
        <s v="ORD-1727"/>
        <s v="ORD-1728"/>
        <s v="ORD-1729"/>
        <s v="ORD-1730"/>
        <s v="ORD-1731"/>
        <s v="ORD-1732"/>
        <s v="ORD-1733"/>
        <s v="ORD-1734"/>
        <s v="ORD-1735"/>
        <s v="ORD-1736"/>
        <s v="ORD-1737"/>
        <s v="ORD-1738"/>
        <s v="ORD-1739"/>
        <s v="ORD-1740"/>
        <s v="ORD-1741"/>
        <s v="ORD-1742"/>
        <s v="ORD-1743"/>
        <s v="ORD-1744"/>
        <s v="ORD-1745"/>
        <s v="ORD-1746"/>
        <s v="ORD-1747"/>
        <s v="ORD-1748"/>
        <s v="ORD-1749"/>
        <s v="ORD-1750"/>
        <s v="ORD-1751"/>
        <s v="ORD-1752"/>
        <s v="ORD-1753"/>
        <s v="ORD-1754"/>
        <s v="ORD-1755"/>
        <s v="ORD-1756"/>
        <s v="ORD-1757"/>
        <s v="ORD-1758"/>
        <s v="ORD-1759"/>
        <s v="ORD-1760"/>
        <s v="ORD-1761"/>
        <s v="ORD-1762"/>
        <s v="ORD-1763"/>
        <s v="ORD-1764"/>
        <s v="ORD-1765"/>
        <s v="ORD-1766"/>
        <s v="ORD-1767"/>
        <s v="ORD-1768"/>
        <s v="ORD-1769"/>
        <s v="ORD-1770"/>
        <s v="ORD-1771"/>
        <s v="ORD-1772"/>
        <s v="ORD-1773"/>
        <s v="ORD-1774"/>
        <s v="ORD-1775"/>
        <s v="ORD-1776"/>
        <s v="ORD-1777"/>
        <s v="ORD-1778"/>
        <s v="ORD-1779"/>
        <s v="ORD-1780"/>
        <s v="ORD-1781"/>
        <s v="ORD-1782"/>
        <s v="ORD-1783"/>
        <s v="ORD-1784"/>
        <s v="ORD-1785"/>
        <s v="ORD-1786"/>
        <s v="ORD-1787"/>
        <s v="ORD-1788"/>
        <s v="ORD-1789"/>
        <s v="ORD-1790"/>
        <s v="ORD-1791"/>
        <s v="ORD-1792"/>
        <s v="ORD-1793"/>
        <s v="ORD-1794"/>
        <s v="ORD-1795"/>
        <s v="ORD-1796"/>
        <s v="ORD-1797"/>
        <s v="ORD-1798"/>
        <s v="ORD-1799"/>
        <s v="ORD-1800"/>
        <s v="ORD-1801"/>
        <s v="ORD-1802"/>
        <s v="ORD-1803"/>
        <s v="ORD-1804"/>
        <s v="ORD-1805"/>
        <s v="ORD-1806"/>
        <s v="ORD-1807"/>
        <s v="ORD-1808"/>
        <s v="ORD-1809"/>
        <s v="ORD-1810"/>
        <s v="ORD-1811"/>
        <s v="ORD-1812"/>
        <s v="ORD-1813"/>
        <s v="ORD-1814"/>
        <s v="ORD-1815"/>
        <s v="ORD-1816"/>
        <s v="ORD-1817"/>
        <s v="ORD-1818"/>
        <s v="ORD-1819"/>
        <s v="ORD-1820"/>
        <s v="ORD-1821"/>
        <s v="ORD-1822"/>
        <s v="ORD-1823"/>
        <s v="ORD-1824"/>
        <s v="ORD-1825"/>
        <s v="ORD-1826"/>
        <s v="ORD-1827"/>
        <s v="ORD-1828"/>
        <s v="ORD-1829"/>
        <s v="ORD-1830"/>
        <s v="ORD-1831"/>
        <s v="ORD-1832"/>
        <s v="ORD-1833"/>
        <s v="ORD-1834"/>
        <s v="ORD-1835"/>
        <s v="ORD-1836"/>
        <s v="ORD-1837"/>
        <s v="ORD-1838"/>
        <s v="ORD-1839"/>
        <s v="ORD-1840"/>
        <s v="ORD-1841"/>
        <s v="ORD-1842"/>
        <s v="ORD-1843"/>
        <s v="ORD-1844"/>
        <s v="ORD-1845"/>
        <s v="ORD-1846"/>
        <s v="ORD-1847"/>
        <s v="ORD-1848"/>
        <s v="ORD-1849"/>
        <s v="ORD-1850"/>
        <s v="ORD-1851"/>
        <s v="ORD-1852"/>
        <s v="ORD-1853"/>
        <s v="ORD-1854"/>
        <s v="ORD-1855"/>
        <s v="ORD-1856"/>
        <s v="ORD-1857"/>
        <s v="ORD-1858"/>
        <s v="ORD-1859"/>
        <s v="ORD-1860"/>
        <s v="ORD-1861"/>
        <s v="ORD-1862"/>
        <s v="ORD-1863"/>
        <s v="ORD-1864"/>
        <s v="ORD-1865"/>
        <s v="ORD-1866"/>
        <s v="ORD-1867"/>
        <s v="ORD-1868"/>
        <s v="ORD-1869"/>
        <s v="ORD-1870"/>
        <s v="ORD-1871"/>
        <s v="ORD-1872"/>
        <s v="ORD-1873"/>
        <s v="ORD-1874"/>
        <s v="ORD-1875"/>
        <s v="ORD-1876"/>
        <s v="ORD-1877"/>
        <s v="ORD-1878"/>
        <s v="ORD-1879"/>
        <s v="ORD-1880"/>
        <s v="ORD-1881"/>
        <s v="ORD-1882"/>
        <s v="ORD-1883"/>
        <s v="ORD-1884"/>
        <s v="ORD-1885"/>
        <s v="ORD-1886"/>
        <s v="ORD-1887"/>
        <s v="ORD-1888"/>
        <s v="ORD-1889"/>
        <s v="ORD-1890"/>
        <s v="ORD-1891"/>
        <s v="ORD-1892"/>
        <s v="ORD-1893"/>
        <s v="ORD-1894"/>
        <s v="ORD-1895"/>
        <s v="ORD-1896"/>
        <s v="ORD-1897"/>
        <s v="ORD-1898"/>
        <s v="ORD-1899"/>
        <s v="ORD-1900"/>
        <s v="ORD-1901"/>
        <s v="ORD-1902"/>
        <s v="ORD-1903"/>
        <s v="ORD-1904"/>
        <s v="ORD-1905"/>
        <s v="ORD-1906"/>
        <s v="ORD-1907"/>
        <s v="ORD-1908"/>
        <s v="ORD-1909"/>
        <s v="ORD-1910"/>
        <s v="ORD-1911"/>
        <s v="ORD-1912"/>
        <s v="ORD-1913"/>
        <s v="ORD-1914"/>
        <s v="ORD-1915"/>
        <s v="ORD-1916"/>
        <s v="ORD-1917"/>
        <s v="ORD-1918"/>
        <s v="ORD-1919"/>
        <s v="ORD-1920"/>
        <s v="ORD-1921"/>
        <s v="ORD-1922"/>
        <s v="ORD-1923"/>
        <s v="ORD-1924"/>
        <s v="ORD-1925"/>
        <s v="ORD-1926"/>
        <s v="ORD-1927"/>
        <s v="ORD-1928"/>
        <s v="ORD-1929"/>
        <s v="ORD-1930"/>
        <s v="ORD-1931"/>
        <s v="ORD-1932"/>
        <s v="ORD-1933"/>
        <s v="ORD-1934"/>
        <s v="ORD-1935"/>
        <s v="ORD-1936"/>
        <s v="ORD-1937"/>
        <s v="ORD-1938"/>
        <s v="ORD-1939"/>
        <s v="ORD-1940"/>
        <s v="ORD-1941"/>
        <s v="ORD-1942"/>
        <s v="ORD-1943"/>
        <s v="ORD-1944"/>
        <s v="ORD-1945"/>
        <s v="ORD-1946"/>
        <s v="ORD-1947"/>
        <s v="ORD-1948"/>
        <s v="ORD-1949"/>
        <s v="ORD-1950"/>
        <s v="ORD-1951"/>
        <s v="ORD-1952"/>
        <s v="ORD-1953"/>
        <s v="ORD-1954"/>
        <s v="ORD-1955"/>
        <s v="ORD-1956"/>
        <s v="ORD-1957"/>
        <s v="ORD-1958"/>
        <s v="ORD-1959"/>
        <s v="ORD-1960"/>
        <s v="ORD-1961"/>
        <s v="ORD-1962"/>
        <s v="ORD-1963"/>
        <s v="ORD-1964"/>
        <s v="ORD-1965"/>
        <s v="ORD-1966"/>
        <s v="ORD-1967"/>
        <s v="ORD-1968"/>
        <s v="ORD-1969"/>
        <s v="ORD-1970"/>
        <s v="ORD-1971"/>
        <s v="ORD-1972"/>
        <s v="ORD-1973"/>
        <s v="ORD-1974"/>
        <s v="ORD-1975"/>
        <s v="ORD-1976"/>
        <s v="ORD-1977"/>
        <s v="ORD-1978"/>
        <s v="ORD-1979"/>
        <s v="ORD-1980"/>
        <s v="ORD-1981"/>
        <s v="ORD-1982"/>
        <s v="ORD-1983"/>
        <s v="ORD-1984"/>
        <s v="ORD-1985"/>
        <s v="ORD-1986"/>
        <s v="ORD-1987"/>
        <s v="ORD-1988"/>
        <s v="ORD-1989"/>
        <s v="ORD-1990"/>
        <s v="ORD-1991"/>
        <s v="ORD-1992"/>
        <s v="ORD-1993"/>
        <s v="ORD-1994"/>
        <s v="ORD-1995"/>
        <s v="ORD-1996"/>
        <s v="ORD-1997"/>
        <s v="ORD-1998"/>
        <s v="ORD-1999"/>
      </sharedItems>
    </cacheField>
    <cacheField name="Customer Segment" numFmtId="0">
      <sharedItems count="4">
        <s v="Corporate"/>
        <s v="Small Business"/>
        <s v="Consumer"/>
        <s v="Home Office"/>
      </sharedItems>
    </cacheField>
    <cacheField name="Region" numFmtId="0">
      <sharedItems count="5">
        <s v="North"/>
        <s v="East"/>
        <s v="Central"/>
        <s v="South"/>
        <s v="West"/>
      </sharedItems>
    </cacheField>
    <cacheField name="Category" numFmtId="0">
      <sharedItems count="4">
        <s v="Office Supplies"/>
        <s v="Clothing"/>
        <s v="Electronics"/>
        <s v="Furniture"/>
      </sharedItems>
    </cacheField>
    <cacheField name="Product" numFmtId="0">
      <sharedItems count="20">
        <s v="Binder"/>
        <s v="T-shirt"/>
        <s v="Hat"/>
        <s v="Jeans"/>
        <s v="Monitor"/>
        <s v="Jacket"/>
        <s v="Headphones"/>
        <s v="Envelopes"/>
        <s v="Laptop"/>
        <s v="Bookshelf"/>
        <s v="Chair"/>
        <s v="Smartphone"/>
        <s v="Desk"/>
        <s v="Paper"/>
        <s v="Lamp"/>
        <s v="Sofa"/>
        <s v="Sneakers"/>
        <s v="Tablet"/>
        <s v="Stapler"/>
        <s v="Pens"/>
      </sharedItems>
    </cacheField>
    <cacheField name="Unit Price" numFmtId="0">
      <sharedItems containsSemiMixedTypes="0" containsString="0" containsNumber="1" minValue="10.71" maxValue="499.37" count="987">
        <n v="275.81"/>
        <n v="50.420000000000002"/>
        <n v="84.019999999999996"/>
        <n v="71.5"/>
        <n v="80.469999999999999"/>
        <n v="61.670000000000002"/>
        <n v="130.31999999999999"/>
        <n v="470.31999999999999"/>
        <n v="270.58999999999997"/>
        <n v="396.67000000000002"/>
        <n v="14.529999999999999"/>
        <n v="257.07999999999998"/>
        <n v="368.94999999999999"/>
        <n v="478.56999999999999"/>
        <n v="299.01999999999998"/>
        <n v="189.87"/>
        <n v="243.52000000000001"/>
        <n v="379.50999999999999"/>
        <n v="231.31"/>
        <n v="33.079999999999998"/>
        <n v="190.58000000000001"/>
        <n v="72.969999999999999"/>
        <n v="72.75"/>
        <n v="149.56"/>
        <n v="182.25"/>
        <n v="237.53999999999999"/>
        <n v="181.44999999999999"/>
        <n v="460.06"/>
        <n v="144.99000000000001"/>
        <n v="428.29000000000002"/>
        <n v="468.20999999999998"/>
        <n v="315.11000000000001"/>
        <n v="279.81"/>
        <n v="113.56"/>
        <n v="285.61000000000001"/>
        <n v="299.87"/>
        <n v="31.059999999999999"/>
        <n v="427.50999999999999"/>
        <n v="135.5"/>
        <n v="100.8"/>
        <n v="364.98000000000002"/>
        <n v="269.80000000000001"/>
        <n v="55.530000000000001"/>
        <n v="17.539999999999999"/>
        <n v="287.63999999999999"/>
        <n v="78.969999999999999"/>
        <n v="217.55000000000001"/>
        <n v="493.36000000000001"/>
        <n v="423.02999999999997"/>
        <n v="57.880000000000003"/>
        <n v="391.56"/>
        <n v="443.02999999999997"/>
        <n v="342.82999999999998"/>
        <n v="64.909999999999997"/>
        <n v="399.63"/>
        <n v="20.100000000000001"/>
        <n v="372.00999999999999"/>
        <n v="318.13999999999999"/>
        <n v="39.020000000000003"/>
        <n v="305.69999999999999"/>
        <n v="79.219999999999999"/>
        <n v="277.01999999999998"/>
        <n v="479.48000000000002"/>
        <n v="305.51999999999998"/>
        <n v="451.24000000000001"/>
        <n v="222.16"/>
        <n v="367.77999999999997"/>
        <n v="388.00999999999999"/>
        <n v="196.69"/>
        <n v="92.590000000000003"/>
        <n v="131.72999999999999"/>
        <n v="69.840000000000003"/>
        <n v="382.51999999999998"/>
        <n v="310.68000000000001"/>
        <n v="210.81999999999999"/>
        <n v="297.19"/>
        <n v="49.229999999999997"/>
        <n v="53.630000000000003"/>
        <n v="433.86000000000001"/>
        <n v="480.48000000000002"/>
        <n v="499.35000000000002"/>
        <n v="60.689999999999998"/>
        <n v="142.18000000000001"/>
        <n v="217.13999999999999"/>
        <n v="26.960000000000001"/>
        <n v="282.13"/>
        <n v="483.55000000000001"/>
        <n v="428.55000000000001"/>
        <n v="290.80000000000001"/>
        <n v="444.06"/>
        <n v="41.420000000000002"/>
        <n v="379.47000000000003"/>
        <n v="219.30000000000001"/>
        <n v="390.25999999999999"/>
        <n v="395.13"/>
        <n v="378.89999999999998"/>
        <n v="144.40000000000001"/>
        <n v="190.65000000000001"/>
        <n v="404.16000000000003"/>
        <n v="350.60000000000002"/>
        <n v="137.24000000000001"/>
        <n v="404.69"/>
        <n v="147.66"/>
        <n v="177.38999999999999"/>
        <n v="202.94"/>
        <n v="120.66"/>
        <n v="289.24000000000001"/>
        <n v="279.75999999999999"/>
        <n v="47.619999999999997"/>
        <n v="67.879999999999995"/>
        <n v="411.81"/>
        <n v="98.790000000000006"/>
        <n v="272.60000000000002"/>
        <n v="252.44999999999999"/>
        <n v="67.359999999999999"/>
        <n v="196.34"/>
        <n v="353.42000000000002"/>
        <n v="371.79000000000002"/>
        <n v="385.99000000000001"/>
        <n v="204.22"/>
        <n v="199.25999999999999"/>
        <n v="273.87"/>
        <n v="80.920000000000002"/>
        <n v="294.56"/>
        <n v="46.619999999999997"/>
        <n v="444.66000000000003"/>
        <n v="178"/>
        <n v="408.75999999999999"/>
        <n v="81.5"/>
        <n v="22.539999999999999"/>
        <n v="268.33999999999997"/>
        <n v="462.77999999999997"/>
        <n v="37.659999999999997"/>
        <n v="194.97999999999999"/>
        <n v="146.25999999999999"/>
        <n v="265.86000000000001"/>
        <n v="227.78"/>
        <n v="42.469999999999999"/>
        <n v="179.06"/>
        <n v="455.64999999999998"/>
        <n v="188.09"/>
        <n v="66.579999999999998"/>
        <n v="231.62"/>
        <n v="80.620000000000005"/>
        <n v="469.13"/>
        <n v="182.16999999999999"/>
        <n v="186.58000000000001"/>
        <n v="26.809999999999999"/>
        <n v="152.02000000000001"/>
        <n v="316.77999999999997"/>
        <n v="211.91999999999999"/>
        <n v="145.11000000000001"/>
        <n v="170.53"/>
        <n v="39.43"/>
        <n v="403.81999999999999"/>
        <n v="495.87"/>
        <n v="162.40000000000001"/>
        <n v="44.920000000000002"/>
        <n v="438.31"/>
        <n v="257.44999999999999"/>
        <n v="199.69"/>
        <n v="444.13999999999999"/>
        <n v="337.88"/>
        <n v="346.25"/>
        <n v="371.48000000000002"/>
        <n v="38.950000000000003"/>
        <n v="287.81999999999999"/>
        <n v="278.44999999999999"/>
        <n v="21.91"/>
        <n v="287.88"/>
        <n v="127.81999999999999"/>
        <n v="357.20999999999998"/>
        <n v="498.48000000000002"/>
        <n v="137.31"/>
        <n v="359.89999999999998"/>
        <n v="446.41000000000003"/>
        <n v="68.579999999999998"/>
        <n v="275.63999999999999"/>
        <n v="262.05000000000001"/>
        <n v="343.04000000000002"/>
        <n v="84"/>
        <n v="307.04000000000002"/>
        <n v="49.609999999999999"/>
        <n v="50.43"/>
        <n v="72.950000000000003"/>
        <n v="329.56"/>
        <n v="51.229999999999997"/>
        <n v="15.27"/>
        <n v="39.509999999999998"/>
        <n v="242.21000000000001"/>
        <n v="313.80000000000001"/>
        <n v="52.909999999999997"/>
        <n v="449.48000000000002"/>
        <n v="402.55000000000001"/>
        <n v="127.48999999999999"/>
        <n v="390.80000000000001"/>
        <n v="393.98000000000002"/>
        <n v="497.94999999999999"/>
        <n v="488.68000000000001"/>
        <n v="482.24000000000001"/>
        <n v="153.97999999999999"/>
        <n v="276.39999999999998"/>
        <n v="121.83"/>
        <n v="408.47000000000003"/>
        <n v="85.090000000000003"/>
        <n v="240.84"/>
        <n v="195.69999999999999"/>
        <n v="376.19"/>
        <n v="17.5"/>
        <n v="50.229999999999997"/>
        <n v="470.68000000000001"/>
        <n v="271.63999999999999"/>
        <n v="299.36000000000001"/>
        <n v="58.859999999999999"/>
        <n v="346.07999999999998"/>
        <n v="302.27999999999997"/>
        <n v="499.37"/>
        <n v="467.13"/>
        <n v="103.45"/>
        <n v="402.29000000000002"/>
        <n v="150.28"/>
        <n v="398.72000000000003"/>
        <n v="378.20999999999998"/>
        <n v="156.88"/>
        <n v="43.799999999999997"/>
        <n v="249.33000000000001"/>
        <n v="489.16000000000003"/>
        <n v="388.81999999999999"/>
        <n v="447.93000000000001"/>
        <n v="82.019999999999996"/>
        <n v="233.72999999999999"/>
        <n v="222.83000000000001"/>
        <n v="156.72999999999999"/>
        <n v="465.27999999999997"/>
        <n v="106.88"/>
        <n v="45.090000000000003"/>
        <n v="192.18000000000001"/>
        <n v="213.34999999999999"/>
        <n v="146.27000000000001"/>
        <n v="268.50999999999999"/>
        <n v="384.75999999999999"/>
        <n v="455.30000000000001"/>
        <n v="320.27999999999997"/>
        <n v="350.19999999999999"/>
        <n v="96.650000000000006"/>
        <n v="10.99"/>
        <n v="106.16"/>
        <n v="56.57"/>
        <n v="333.13999999999999"/>
        <n v="20.210000000000001"/>
        <n v="120.48"/>
        <n v="110.70999999999999"/>
        <n v="362.36000000000001"/>
        <n v="226.40000000000001"/>
        <n v="113.16"/>
        <n v="180.41999999999999"/>
        <n v="417.75999999999999"/>
        <n v="289.43000000000001"/>
        <n v="370.88999999999999"/>
        <n v="401.56"/>
        <n v="41.770000000000003"/>
        <n v="280.10000000000002"/>
        <n v="53.590000000000003"/>
        <n v="101.95"/>
        <n v="41.5"/>
        <n v="111.53"/>
        <n v="379.10000000000002"/>
        <n v="40.979999999999997"/>
        <n v="487.80000000000001"/>
        <n v="149.09999999999999"/>
        <n v="335.91000000000003"/>
        <n v="338.66000000000003"/>
        <n v="266.24000000000001"/>
        <n v="190.08000000000001"/>
        <n v="182.68000000000001"/>
        <n v="311.72000000000003"/>
        <n v="494.29000000000002"/>
        <n v="291.75"/>
        <n v="273.16000000000003"/>
        <n v="339.69"/>
        <n v="256.02999999999997"/>
        <n v="494.91000000000003"/>
        <n v="377.60000000000002"/>
        <n v="65.299999999999997"/>
        <n v="178.19"/>
        <n v="446.92000000000002"/>
        <n v="116.33"/>
        <n v="37.719999999999999"/>
        <n v="141.58000000000001"/>
        <n v="216.68000000000001"/>
        <n v="243.44"/>
        <n v="265.57999999999998"/>
        <n v="70.150000000000006"/>
        <n v="396.61000000000001"/>
        <n v="273.94999999999999"/>
        <n v="390.32999999999998"/>
        <n v="383.47000000000003"/>
        <n v="484.00999999999999"/>
        <n v="279.82999999999998"/>
        <n v="464.39999999999998"/>
        <n v="334.26999999999998"/>
        <n v="430.56999999999999"/>
        <n v="232.33000000000001"/>
        <n v="379.82999999999998"/>
        <n v="423.55000000000001"/>
        <n v="199.25"/>
        <n v="41.75"/>
        <n v="68.650000000000006"/>
        <n v="494.20999999999998"/>
        <n v="301.19"/>
        <n v="486.62"/>
        <n v="477.12"/>
        <n v="452.39999999999998"/>
        <n v="400.60000000000002"/>
        <n v="66.849999999999994"/>
        <n v="157.25"/>
        <n v="428.12"/>
        <n v="376.04000000000002"/>
        <n v="233.28"/>
        <n v="268.94"/>
        <n v="479.51999999999998"/>
        <n v="195.31999999999999"/>
        <n v="233.16999999999999"/>
        <n v="427.93000000000001"/>
        <n v="307.97000000000003"/>
        <n v="122.09999999999999"/>
        <n v="199.09"/>
        <n v="103.73"/>
        <n v="303.08999999999997"/>
        <n v="423.95999999999998"/>
        <n v="189.19"/>
        <n v="86.409999999999997"/>
        <n v="10.710000000000001"/>
        <n v="321.49000000000001"/>
        <n v="48.810000000000002"/>
        <n v="285.37"/>
        <n v="46.640000000000001"/>
        <n v="469.38999999999999"/>
        <n v="323.36000000000001"/>
        <n v="97.530000000000001"/>
        <n v="269.49000000000001"/>
        <n v="469.56999999999999"/>
        <n v="337.63"/>
        <n v="391.26999999999998"/>
        <n v="222.50999999999999"/>
        <n v="153.46000000000001"/>
        <n v="285.56"/>
        <n v="145.22999999999999"/>
        <n v="361.33999999999997"/>
        <n v="25.25"/>
        <n v="183.46000000000001"/>
        <n v="439.05000000000001"/>
        <n v="54.729999999999997"/>
        <n v="184.24000000000001"/>
        <n v="426.63"/>
        <n v="242.5"/>
        <n v="223.16"/>
        <n v="12.460000000000001"/>
        <n v="20.300000000000001"/>
        <n v="50.009999999999998"/>
        <n v="347.49000000000001"/>
        <n v="181.5"/>
        <n v="219.44"/>
        <n v="273.27999999999997"/>
        <n v="296.55000000000001"/>
        <n v="467.62"/>
        <n v="286.52999999999997"/>
        <n v="408.69"/>
        <n v="120.98999999999999"/>
        <n v="266.80000000000001"/>
        <n v="394.22000000000003"/>
        <n v="387.85000000000002"/>
        <n v="195.56999999999999"/>
        <n v="198.52000000000001"/>
        <n v="31.449999999999999"/>
        <n v="225.61000000000001"/>
        <n v="245.44"/>
        <n v="469.91000000000003"/>
        <n v="288.31"/>
        <n v="197.88999999999999"/>
        <n v="436.37"/>
        <n v="443.92000000000002"/>
        <n v="447.52999999999997"/>
        <n v="340.13"/>
        <n v="169.18000000000001"/>
        <n v="158.91"/>
        <n v="75.590000000000003"/>
        <n v="443.44"/>
        <n v="441.93000000000001"/>
        <n v="175.13999999999999"/>
        <n v="43.170000000000002"/>
        <n v="25.149999999999999"/>
        <n v="253.80000000000001"/>
        <n v="451.57999999999998"/>
        <n v="414.19"/>
        <n v="346.25999999999999"/>
        <n v="220.84"/>
        <n v="19.25"/>
        <n v="440.91000000000003"/>
        <n v="392.76999999999998"/>
        <n v="390.47000000000003"/>
        <n v="178.47"/>
        <n v="260.88"/>
        <n v="120.18000000000001"/>
        <n v="462.82999999999998"/>
        <n v="473.49000000000001"/>
        <n v="259.08999999999997"/>
        <n v="350.98000000000002"/>
        <n v="444.04000000000002"/>
        <n v="165.81"/>
        <n v="241.34999999999999"/>
        <n v="458.08999999999997"/>
        <n v="316.79000000000002"/>
        <n v="470.05000000000001"/>
        <n v="343.30000000000001"/>
        <n v="149.16"/>
        <n v="28.789999999999999"/>
        <n v="433.97000000000003"/>
        <n v="466.55000000000001"/>
        <n v="68.819999999999993"/>
        <n v="247.84999999999999"/>
        <n v="283.76999999999998"/>
        <n v="107.3"/>
        <n v="281.05000000000001"/>
        <n v="170.80000000000001"/>
        <n v="344.88"/>
        <n v="454"/>
        <n v="331.38999999999999"/>
        <n v="186.91999999999999"/>
        <n v="481.85000000000002"/>
        <n v="25.140000000000001"/>
        <n v="101.18000000000001"/>
        <n v="14.65"/>
        <n v="396.87"/>
        <n v="354.66000000000003"/>
        <n v="123.58"/>
        <n v="35.890000000000001"/>
        <n v="497.56999999999999"/>
        <n v="405.58999999999997"/>
        <n v="410.93000000000001"/>
        <n v="463.06"/>
        <n v="75.510000000000005"/>
        <n v="431.57999999999998"/>
        <n v="358.41000000000003"/>
        <n v="489.80000000000001"/>
        <n v="182.75999999999999"/>
        <n v="130.97999999999999"/>
        <n v="98.359999999999999"/>
        <n v="393.5"/>
        <n v="403.75"/>
        <n v="261.04000000000002"/>
        <n v="88.890000000000001"/>
        <n v="203.34"/>
        <n v="496.55000000000001"/>
        <n v="235.16"/>
        <n v="25.84"/>
        <n v="106.7"/>
        <n v="254.75"/>
        <n v="495.50999999999999"/>
        <n v="296.81"/>
        <n v="340.30000000000001"/>
        <n v="159.93000000000001"/>
        <n v="464.83999999999997"/>
        <n v="195.81"/>
        <n v="68.689999999999998"/>
        <n v="327.94999999999999"/>
        <n v="148.93000000000001"/>
        <n v="264.88999999999999"/>
        <n v="216.83000000000001"/>
        <n v="337.05000000000001"/>
        <n v="318.87"/>
        <n v="363.31"/>
        <n v="81.180000000000007"/>
        <n v="456.43000000000001"/>
        <n v="256.33999999999997"/>
        <n v="279.56999999999999"/>
        <n v="466.22000000000003"/>
        <n v="466.60000000000002"/>
        <n v="352.5"/>
        <n v="144.52000000000001"/>
        <n v="191.75999999999999"/>
        <n v="490.79000000000002"/>
        <n v="165.31"/>
        <n v="54.189999999999998"/>
        <n v="357.58999999999997"/>
        <n v="399.38"/>
        <n v="287.31"/>
        <n v="316.63999999999999"/>
        <n v="491.08999999999997"/>
        <n v="367.58999999999997"/>
        <n v="247.63"/>
        <n v="207.24000000000001"/>
        <n v="269.85000000000002"/>
        <n v="282.06999999999999"/>
        <n v="407.36000000000001"/>
        <n v="377.44999999999999"/>
        <n v="298.29000000000002"/>
        <n v="63.350000000000001"/>
        <n v="229.91"/>
        <n v="50.799999999999997"/>
        <n v="381.74000000000001"/>
        <n v="50.490000000000002"/>
        <n v="33.450000000000003"/>
        <n v="347.85000000000002"/>
        <n v="191.37"/>
        <n v="313.05000000000001"/>
        <n v="430.06999999999999"/>
        <n v="308.77999999999997"/>
        <n v="109.01000000000001"/>
        <n v="220.11000000000001"/>
        <n v="210.16"/>
        <n v="27.920000000000002"/>
        <n v="137.13"/>
        <n v="344.12"/>
        <n v="359.80000000000001"/>
        <n v="243.27000000000001"/>
        <n v="201.22"/>
        <n v="430.38999999999999"/>
        <n v="407.61000000000001"/>
        <n v="304.87"/>
        <n v="148.88"/>
        <n v="380.41000000000003"/>
        <n v="474.62"/>
        <n v="156.34"/>
        <n v="446.62"/>
        <n v="462.30000000000001"/>
        <n v="56.590000000000003"/>
        <n v="305.56"/>
        <n v="176.28"/>
        <n v="360.81"/>
        <n v="159.81"/>
        <n v="194.91"/>
        <n v="323.07999999999998"/>
        <n v="275.45999999999998"/>
        <n v="194.94999999999999"/>
        <n v="238.96000000000001"/>
        <n v="440.69"/>
        <n v="145.84"/>
        <n v="351.29000000000002"/>
        <n v="384.77999999999997"/>
        <n v="498.85000000000002"/>
        <n v="50.159999999999997"/>
        <n v="46.740000000000002"/>
        <n v="485.10000000000002"/>
        <n v="437.42000000000002"/>
        <n v="455.67000000000002"/>
        <n v="275"/>
        <n v="165.91999999999999"/>
        <n v="299.97000000000003"/>
        <n v="141.97999999999999"/>
        <n v="348.69999999999999"/>
        <n v="120.84999999999999"/>
        <n v="302.83999999999997"/>
        <n v="343.16000000000003"/>
        <n v="124.28"/>
        <n v="363.30000000000001"/>
        <n v="265.79000000000002"/>
        <n v="115.59"/>
        <n v="436.29000000000002"/>
        <n v="108.72"/>
        <n v="318.56999999999999"/>
        <n v="362.33999999999997"/>
        <n v="175.31"/>
        <n v="316.72000000000003"/>
        <n v="336.06999999999999"/>
        <n v="297.66000000000003"/>
        <n v="220.00999999999999"/>
        <n v="188.66999999999999"/>
        <n v="317.47000000000003"/>
        <n v="159.22"/>
        <n v="88.719999999999999"/>
        <n v="203.41"/>
        <n v="39.710000000000001"/>
        <n v="458.44"/>
        <n v="409.75999999999999"/>
        <n v="321.75999999999999"/>
        <n v="496.32999999999998"/>
        <n v="69.310000000000002"/>
        <n v="240.86000000000001"/>
        <n v="230.36000000000001"/>
        <n v="162.34"/>
        <n v="306.06"/>
        <n v="437.92000000000002"/>
        <n v="135.38"/>
        <n v="145.21000000000001"/>
        <n v="24.710000000000001"/>
        <n v="100.44"/>
        <n v="423.72000000000003"/>
        <n v="28.390000000000001"/>
        <n v="401.13"/>
        <n v="241.13999999999999"/>
        <n v="363.06"/>
        <n v="66.310000000000002"/>
        <n v="354.73000000000002"/>
        <n v="394.62"/>
        <n v="493.94"/>
        <n v="377.72000000000003"/>
        <n v="351.30000000000001"/>
        <n v="144.46000000000001"/>
        <n v="106.28"/>
        <n v="480.18000000000001"/>
        <n v="490.99000000000001"/>
        <n v="116.23999999999999"/>
        <n v="210.63"/>
        <n v="352.97000000000003"/>
        <n v="397.67000000000002"/>
        <n v="60.850000000000001"/>
        <n v="360.93000000000001"/>
        <n v="106.64"/>
        <n v="82.219999999999999"/>
        <n v="195.77000000000001"/>
        <n v="129.44999999999999"/>
        <n v="309.27999999999997"/>
        <n v="119.7"/>
        <n v="450.31999999999999"/>
        <n v="333.75999999999999"/>
        <n v="483.77999999999997"/>
        <n v="169.93000000000001"/>
        <n v="12.859999999999999"/>
        <n v="473.27999999999997"/>
        <n v="89.579999999999998"/>
        <n v="339.88"/>
        <n v="138.53"/>
        <n v="74.640000000000001"/>
        <n v="194.69999999999999"/>
        <n v="141.72999999999999"/>
        <n v="309.64999999999998"/>
        <n v="223.5"/>
        <n v="234.5"/>
        <n v="490.61000000000001"/>
        <n v="268.92000000000002"/>
        <n v="485.39999999999998"/>
        <n v="264.38"/>
        <n v="452.86000000000001"/>
        <n v="137.36000000000001"/>
        <n v="154.28"/>
        <n v="200.47999999999999"/>
        <n v="275.25"/>
        <n v="48.909999999999997"/>
        <n v="480.05000000000001"/>
        <n v="210.90000000000001"/>
        <n v="179.65000000000001"/>
        <n v="189.68000000000001"/>
        <n v="11.210000000000001"/>
        <n v="190.87"/>
        <n v="434.18000000000001"/>
        <n v="306.79000000000002"/>
        <n v="327.60000000000002"/>
        <n v="74.760000000000005"/>
        <n v="283.60000000000002"/>
        <n v="245.27000000000001"/>
        <n v="176.59999999999999"/>
        <n v="109.45"/>
        <n v="418.13"/>
        <n v="296.19999999999999"/>
        <n v="358.57999999999998"/>
        <n v="265.12"/>
        <n v="322.33999999999997"/>
        <n v="17.100000000000001"/>
        <n v="45.719999999999999"/>
        <n v="104.5"/>
        <n v="92.540000000000006"/>
        <n v="292.13999999999999"/>
        <n v="308.54000000000002"/>
        <n v="22.879999999999999"/>
        <n v="382.13999999999999"/>
        <n v="399.69999999999999"/>
        <n v="65.340000000000003"/>
        <n v="338.68000000000001"/>
        <n v="374.33999999999997"/>
        <n v="87.170000000000002"/>
        <n v="458.63999999999999"/>
        <n v="116.55"/>
        <n v="206.16999999999999"/>
        <n v="436.72000000000003"/>
        <n v="153.80000000000001"/>
        <n v="191.46000000000001"/>
        <n v="76.200000000000003"/>
        <n v="105.05"/>
        <n v="164.31999999999999"/>
        <n v="377.94"/>
        <n v="376.97000000000003"/>
        <n v="180.31999999999999"/>
        <n v="80.140000000000001"/>
        <n v="461.04000000000002"/>
        <n v="331.99000000000001"/>
        <n v="201"/>
        <n v="386.92000000000002"/>
        <n v="254.63"/>
        <n v="346.72000000000003"/>
        <n v="22.690000000000001"/>
        <n v="322.31999999999999"/>
        <n v="241.06999999999999"/>
        <n v="478.44"/>
        <n v="385.17000000000002"/>
        <n v="437.13999999999999"/>
        <n v="235.62"/>
        <n v="95.340000000000003"/>
        <n v="108.19"/>
        <n v="161.06"/>
        <n v="201.16999999999999"/>
        <n v="193.63999999999999"/>
        <n v="182.97"/>
        <n v="122.5"/>
        <n v="276.06"/>
        <n v="385.95999999999998"/>
        <n v="228.27000000000001"/>
        <n v="185.90000000000001"/>
        <n v="218.69999999999999"/>
        <n v="360.75"/>
        <n v="131.94999999999999"/>
        <n v="153.55000000000001"/>
        <n v="408.97000000000003"/>
        <n v="93.400000000000006"/>
        <n v="38.350000000000001"/>
        <n v="446.18000000000001"/>
        <n v="36.359999999999999"/>
        <n v="158.81"/>
        <n v="378.77999999999997"/>
        <n v="227.37"/>
        <n v="169.30000000000001"/>
        <n v="195.19"/>
        <n v="287.06"/>
        <n v="478.26999999999998"/>
        <n v="168.34999999999999"/>
        <n v="73.540000000000006"/>
        <n v="62.310000000000002"/>
        <n v="223"/>
        <n v="481.13"/>
        <n v="110.79000000000001"/>
        <n v="148.66999999999999"/>
        <n v="96.019999999999996"/>
        <n v="77.700000000000003"/>
        <n v="429.87"/>
        <n v="228.87"/>
        <n v="40.340000000000003"/>
        <n v="470.61000000000001"/>
        <n v="312.54000000000002"/>
        <n v="15.050000000000001"/>
        <n v="446.22000000000003"/>
        <n v="161.5"/>
        <n v="127.78"/>
        <n v="223.36000000000001"/>
        <n v="247.19999999999999"/>
        <n v="294.79000000000002"/>
        <n v="476.10000000000002"/>
        <n v="258.81999999999999"/>
        <n v="440.25999999999999"/>
        <n v="144.34"/>
        <n v="71.939999999999998"/>
        <n v="418.57999999999998"/>
        <n v="164.94"/>
        <n v="447.57999999999998"/>
        <n v="277.63"/>
        <n v="311.88999999999999"/>
        <n v="277.81"/>
        <n v="380.38999999999999"/>
        <n v="71.510000000000005"/>
        <n v="234.88999999999999"/>
        <n v="256.22000000000003"/>
        <n v="383.30000000000001"/>
        <n v="125.18000000000001"/>
        <n v="165.09999999999999"/>
        <n v="356.38"/>
        <n v="472.05000000000001"/>
        <n v="452.72000000000003"/>
        <n v="478.50999999999999"/>
        <n v="18.469999999999999"/>
        <n v="450.41000000000003"/>
        <n v="66.079999999999998"/>
        <n v="473.82999999999998"/>
        <n v="70.390000000000001"/>
        <n v="423.08999999999997"/>
        <n v="258.79000000000002"/>
        <n v="294.87"/>
        <n v="397.06"/>
        <n v="326.39999999999998"/>
        <n v="172.5"/>
        <n v="409"/>
        <n v="414.44999999999999"/>
        <n v="235.05000000000001"/>
        <n v="206.69"/>
        <n v="337.06999999999999"/>
        <n v="98.230000000000004"/>
        <n v="326.22000000000003"/>
        <n v="366.04000000000002"/>
        <n v="397.16000000000003"/>
        <n v="364.75999999999999"/>
        <n v="383.64999999999998"/>
        <n v="48.520000000000003"/>
        <n v="356.06"/>
        <n v="170.93000000000001"/>
        <n v="80.849999999999994"/>
        <n v="413.29000000000002"/>
        <n v="178.03999999999999"/>
        <n v="157.5"/>
        <n v="180.58000000000001"/>
        <n v="163.69999999999999"/>
        <n v="381.87"/>
        <n v="314.44999999999999"/>
        <n v="132.61000000000001"/>
        <n v="81.959999999999994"/>
        <n v="331.37"/>
        <n v="111.37"/>
        <n v="444.51999999999998"/>
        <n v="262.06"/>
        <n v="338.88"/>
        <n v="96.040000000000006"/>
        <n v="170.86000000000001"/>
        <n v="471.69"/>
        <n v="491.92000000000002"/>
        <n v="180.88999999999999"/>
        <n v="140.97999999999999"/>
        <n v="433.79000000000002"/>
        <n v="249.84"/>
        <n v="119.75"/>
        <n v="64.129999999999995"/>
        <n v="325.91000000000003"/>
        <n v="51.700000000000003"/>
        <n v="463.57999999999998"/>
        <n v="406.87"/>
        <n v="210.47"/>
        <n v="106.68000000000001"/>
        <n v="60.740000000000002"/>
        <n v="73.689999999999998"/>
        <n v="338.41000000000003"/>
        <n v="290.07999999999998"/>
        <n v="296.89999999999998"/>
        <n v="367.57999999999998"/>
        <n v="261.52999999999997"/>
        <n v="132.78"/>
        <n v="277.24000000000001"/>
        <n v="364.83999999999997"/>
        <n v="427.24000000000001"/>
        <n v="36.969999999999999"/>
        <n v="153.81999999999999"/>
        <n v="356.83999999999997"/>
        <n v="498.61000000000001"/>
        <n v="304.54000000000002"/>
        <n v="496.57999999999998"/>
        <n v="412"/>
        <n v="499.24000000000001"/>
        <n v="274.29000000000002"/>
        <n v="211.25"/>
        <n v="232.00999999999999"/>
        <n v="296.36000000000001"/>
        <n v="372.47000000000003"/>
        <n v="86.390000000000001"/>
        <n v="207.33000000000001"/>
        <n v="130.66999999999999"/>
        <n v="204.25999999999999"/>
        <n v="295.13"/>
        <n v="330.94999999999999"/>
        <n v="280.39999999999998"/>
        <n v="320.62"/>
        <n v="433.63"/>
        <n v="47.82"/>
        <n v="34.149999999999999"/>
        <n v="61.600000000000001"/>
        <n v="99.430000000000007"/>
        <n v="153.28999999999999"/>
        <n v="479.92000000000002"/>
        <n v="164.50999999999999"/>
        <n v="82.829999999999998"/>
        <n v="259.35000000000002"/>
        <n v="145.24000000000001"/>
        <n v="416.19"/>
        <n v="247.44"/>
        <n v="406.41000000000003"/>
        <n v="413.25999999999999"/>
        <n v="393.75999999999999"/>
        <n v="261.23000000000002"/>
        <n v="298.43000000000001"/>
        <n v="445.29000000000002"/>
        <n v="237.15000000000001"/>
        <n v="418.35000000000002"/>
        <n v="224.56"/>
        <n v="74.540000000000006"/>
        <n v="247.90000000000001"/>
        <n v="151.84"/>
        <n v="498.26999999999998"/>
        <n v="453.69"/>
        <n v="155.41999999999999"/>
        <n v="426.08999999999997"/>
        <n v="275.57999999999998"/>
        <n v="151.78999999999999"/>
        <n v="16.190000000000001"/>
        <n v="332.58999999999997"/>
        <n v="435.27999999999997"/>
        <n v="442.31"/>
        <n v="153.91"/>
        <n v="103.13"/>
        <n v="397.80000000000001"/>
        <n v="447.56"/>
        <n v="278.62"/>
        <n v="239.83000000000001"/>
        <n v="27.399999999999999"/>
        <n v="255.41999999999999"/>
        <n v="117.19"/>
        <n v="70.079999999999998"/>
        <n v="104.69"/>
        <n v="498.76999999999998"/>
        <n v="36.420000000000002"/>
        <n v="147.41999999999999"/>
        <n v="192.69"/>
        <n v="160.91"/>
        <n v="345.10000000000002"/>
        <n v="458.14999999999998"/>
        <n v="28.350000000000001"/>
        <n v="348.45999999999998"/>
        <n v="202.41999999999999"/>
        <n v="265.82999999999998"/>
        <n v="111.83"/>
        <n v="39.609999999999999"/>
        <n v="424.94"/>
        <n v="30.010000000000002"/>
        <n v="423.36000000000001"/>
        <n v="341.38999999999999"/>
        <n v="37.109999999999999"/>
        <n v="340.97000000000003"/>
        <n v="117.14"/>
        <n v="116.45"/>
        <n v="140.90000000000001"/>
        <n v="169.19999999999999"/>
        <n v="262.49000000000001"/>
        <n v="469.26999999999998"/>
        <n v="394.97000000000003"/>
        <n v="59.520000000000003"/>
        <n v="146.75999999999999"/>
        <n v="439.42000000000002"/>
        <n v="495.04000000000002"/>
        <n v="71.060000000000002"/>
        <n v="31.620000000000001"/>
        <n v="82.450000000000003"/>
        <n v="110.75"/>
        <n v="158.69"/>
        <n v="23.52"/>
        <n v="381.00999999999999"/>
        <n v="29.16"/>
        <n v="142.43000000000001"/>
        <n v="119.92"/>
        <n v="340.18000000000001"/>
        <n v="341.31999999999999"/>
        <n v="375.06"/>
        <n v="492.05000000000001"/>
        <n v="440.54000000000002"/>
        <n v="437.69999999999999"/>
        <n v="75.049999999999997"/>
        <n v="461.54000000000002"/>
        <n v="249.97"/>
        <n v="291.86000000000001"/>
        <n v="301.18000000000001"/>
        <n v="177.59999999999999"/>
        <n v="160.90000000000001"/>
        <n v="105.37"/>
        <n v="226.08000000000001"/>
        <n v="430.24000000000001"/>
        <n v="202.40000000000001"/>
        <n v="112.97"/>
        <n v="464.38"/>
        <n v="429.06"/>
        <n v="279.06"/>
        <n v="209.59999999999999"/>
        <n v="355.14999999999998"/>
        <n v="94.849999999999994"/>
        <n v="434.48000000000002"/>
        <n v="404.50999999999999"/>
        <n v="39.530000000000001"/>
        <n v="139.47999999999999"/>
        <n v="390.82999999999998"/>
        <n v="187.15000000000001"/>
        <n v="409.05000000000001"/>
        <n v="425.38"/>
        <n v="392.48000000000002"/>
        <n v="103.27"/>
        <n v="456.05000000000001"/>
        <n v="349.55000000000001"/>
        <n v="17.59"/>
        <n v="103.66"/>
        <n v="79.209999999999994"/>
        <n v="265.24000000000001"/>
        <n v="409.58999999999997"/>
        <n v="416.41000000000003"/>
        <n v="140.81999999999999"/>
        <n v="158.06999999999999"/>
        <n v="139.78"/>
        <n v="104.31999999999999"/>
      </sharedItems>
    </cacheField>
    <cacheField name="Quantity" numFmtId="0">
      <sharedItems containsSemiMixedTypes="0" containsString="0" containsNumber="1" containsInteger="1" minValue="1" maxValue="15" count="15">
        <n v="2"/>
        <n v="9"/>
        <n v="5"/>
        <n v="4"/>
        <n v="7"/>
        <n v="12"/>
        <n v="8"/>
        <n v="6"/>
        <n v="15"/>
        <n v="11"/>
        <n v="10"/>
        <n v="1"/>
        <n v="14"/>
        <n v="3"/>
        <n v="13"/>
      </sharedItems>
    </cacheField>
    <cacheField name="Total Sales" numFmtId="0">
      <sharedItems containsSemiMixedTypes="0" containsString="0" containsNumber="1" minValue="11.21" maxValue="7423.65" count="998">
        <n v="551.62"/>
        <n v="453.77999999999997"/>
        <n v="420.10000000000002"/>
        <n v="286"/>
        <n v="724.23000000000002"/>
        <n v="431.69"/>
        <n v="260.63999999999999"/>
        <n v="5643.8400000000001"/>
        <n v="2164.7199999999998"/>
        <n v="4760.04"/>
        <n v="29.059999999999999"/>
        <n v="1542.48"/>
        <n v="2213.6999999999998"/>
        <n v="2871.4200000000001"/>
        <n v="1495.0999999999999"/>
        <n v="2848.0500000000002"/>
        <n v="2678.7199999999998"/>
        <n v="759.01999999999998"/>
        <n v="1850.48"/>
        <n v="297.72000000000003"/>
        <n v="762.32000000000005"/>
        <n v="510.79000000000002"/>
        <n v="727.5"/>
        <n v="149.56"/>
        <n v="1458"/>
        <n v="237.53999999999999"/>
        <n v="1088.7"/>
        <n v="5060.6599999999999"/>
        <n v="289.98000000000002"/>
        <n v="4282.8999999999996"/>
        <n v="3277.4699999999998"/>
        <n v="2835.9899999999998"/>
        <n v="559.62"/>
        <n v="1362.72"/>
        <n v="1713.6600000000001"/>
        <n v="3298.5700000000002"/>
        <n v="465.89999999999998"/>
        <n v="3420.0799999999999"/>
        <n v="271"/>
        <n v="705.60000000000002"/>
        <n v="4379.7600000000002"/>
        <n v="1349"/>
        <n v="499.76999999999998"/>
        <n v="35.079999999999998"/>
        <n v="575.27999999999997"/>
        <n v="78.969999999999999"/>
        <n v="870.20000000000005"/>
        <n v="6907.04"/>
        <n v="6345.4499999999998"/>
        <n v="636.67999999999995"/>
        <n v="1174.6800000000001"/>
        <n v="4430.3000000000002"/>
        <n v="1371.3199999999999"/>
        <n v="908.74000000000001"/>
        <n v="3596.6700000000001"/>
        <n v="120.59999999999999"/>
        <n v="4836.1300000000001"/>
        <n v="4772.1000000000004"/>
        <n v="156.08000000000001"/>
        <n v="4585.5"/>
        <n v="554.53999999999996"/>
        <n v="1662.1199999999999"/>
        <n v="4315.3199999999997"/>
        <n v="2444.1599999999999"/>
        <n v="5866.1199999999999"/>
        <n v="666.48000000000002"/>
        <n v="735.55999999999995"/>
        <n v="3880.0999999999999"/>
        <n v="2753.6599999999999"/>
        <n v="1388.8499999999999"/>
        <n v="131.72999999999999"/>
        <n v="349.19999999999999"/>
        <n v="1147.5599999999999"/>
        <n v="2174.7600000000002"/>
        <n v="421.63999999999999"/>
        <n v="1485.95"/>
        <n v="344.61000000000001"/>
        <n v="482.67000000000002"/>
        <n v="4338.6000000000004"/>
        <n v="2402.4000000000001"/>
        <n v="6491.5500000000002"/>
        <n v="728.27999999999997"/>
        <n v="995.25999999999999"/>
        <n v="217.13999999999999"/>
        <n v="323.51999999999998"/>
        <n v="846.38999999999999"/>
        <n v="7253.25"/>
        <n v="1285.6500000000001"/>
        <n v="3780.4000000000001"/>
        <n v="6660.8999999999996"/>
        <n v="579.88"/>
        <n v="4553.6400000000003"/>
        <n v="3289.5"/>
        <n v="5463.6400000000003"/>
        <n v="3951.3000000000002"/>
        <n v="4546.8000000000002"/>
        <n v="1444"/>
        <n v="381.30000000000001"/>
        <n v="2829.1199999999999"/>
        <n v="3506"/>
        <n v="1921.3599999999999"/>
        <n v="2023.45"/>
        <n v="1919.5799999999999"/>
        <n v="177.38999999999999"/>
        <n v="811.75999999999999"/>
        <n v="603.29999999999995"/>
        <n v="2517.8400000000001"/>
        <n v="666.67999999999995"/>
        <n v="882.44000000000005"/>
        <n v="3294.48"/>
        <n v="889.11000000000001"/>
        <n v="1908.2"/>
        <n v="2019.5999999999999"/>
        <n v="134.72"/>
        <n v="785.36000000000001"/>
        <n v="1060.26"/>
        <n v="555.29999999999995"/>
        <n v="1487.1600000000001"/>
        <n v="4631.8800000000001"/>
        <n v="408.44"/>
        <n v="996.29999999999995"/>
        <n v="2738.6999999999998"/>
        <n v="485.51999999999998"/>
        <n v="1472.8"/>
        <n v="139.86000000000001"/>
        <n v="5780.5799999999999"/>
        <n v="1068"/>
        <n v="2043.8"/>
        <n v="733.5"/>
        <n v="90.159999999999997"/>
        <n v="536.67999999999995"/>
        <n v="4627.8000000000002"/>
        <n v="376.60000000000002"/>
        <n v="1949.8"/>
        <n v="2193.9000000000001"/>
        <n v="2924.46"/>
        <n v="1138.9000000000001"/>
        <n v="42.469999999999999"/>
        <n v="1253.4200000000001"/>
        <n v="5923.4499999999998"/>
        <n v="564.26999999999998"/>
        <n v="133.16"/>
        <n v="1389.72"/>
        <n v="644.96000000000004"/>
        <n v="6098.6899999999996"/>
        <n v="2732.5500000000002"/>
        <n v="2238.96"/>
        <n v="321.72000000000003"/>
        <n v="608.08000000000004"/>
        <n v="2534.2399999999998"/>
        <n v="1483.4400000000001"/>
        <n v="435.32999999999998"/>
        <n v="341.06"/>
        <n v="157.72"/>
        <n v="6057.3000000000002"/>
        <n v="1487.6099999999999"/>
        <n v="1948.8"/>
        <n v="673.79999999999995"/>
        <n v="5259.7200000000003"/>
        <n v="1029.8"/>
        <n v="2595.9699999999998"/>
        <n v="6662.1000000000004"/>
        <n v="337.88"/>
        <n v="3116.25"/>
        <n v="742.96000000000004"/>
        <n v="311.60000000000002"/>
        <n v="3741.6599999999999"/>
        <n v="3619.8499999999999"/>
        <n v="131.46000000000001"/>
        <n v="287.88"/>
        <n v="1406.02"/>
        <n v="4643.7299999999996"/>
        <n v="1495.4400000000001"/>
        <n v="686.54999999999995"/>
        <n v="3599"/>
        <n v="446.41000000000003"/>
        <n v="822.96000000000004"/>
        <n v="2205.1199999999999"/>
        <n v="1834.3499999999999"/>
        <n v="4802.5600000000004"/>
        <n v="1008"/>
        <n v="1535.2"/>
        <n v="496.10000000000002"/>
        <n v="605.15999999999997"/>
        <n v="291.80000000000001"/>
        <n v="4943.3999999999996"/>
        <n v="256.14999999999998"/>
        <n v="183.24000000000001"/>
        <n v="197.55000000000001"/>
        <n v="3390.9400000000001"/>
        <n v="3138"/>
        <n v="476.19"/>
        <n v="1797.9200000000001"/>
        <n v="1207.6500000000001"/>
        <n v="509.95999999999998"/>
        <n v="390.80000000000001"/>
        <n v="3151.8400000000001"/>
        <n v="3983.5999999999999"/>
        <n v="3909.4400000000001"/>
        <n v="7233.6000000000004"/>
        <n v="2155.7199999999998"/>
        <n v="1382"/>
        <n v="1218.3"/>
        <n v="4901.6400000000003"/>
        <n v="1106.1700000000001"/>
        <n v="3371.7600000000002"/>
        <n v="1957"/>
        <n v="1128.5699999999999"/>
        <n v="105"/>
        <n v="652.99000000000001"/>
        <n v="1882.72"/>
        <n v="543.27999999999997"/>
        <n v="898.08000000000004"/>
        <n v="294.30000000000001"/>
        <n v="1384.3199999999999"/>
        <n v="1813.6800000000001"/>
        <n v="2496.8499999999999"/>
        <n v="7006.9499999999998"/>
        <n v="1448.3"/>
        <n v="1609.1600000000001"/>
        <n v="1352.52"/>
        <n v="5582.0799999999999"/>
        <n v="4916.7299999999996"/>
        <n v="1255.04"/>
        <n v="657"/>
        <n v="1495.98"/>
        <n v="7337.3999999999996"/>
        <n v="3888.1999999999998"/>
        <n v="3583.4400000000001"/>
        <n v="410.10000000000002"/>
        <n v="1402.3800000000001"/>
        <n v="445.66000000000003"/>
        <n v="1567.3"/>
        <n v="3256.96"/>
        <n v="1603.2"/>
        <n v="135.27000000000001"/>
        <n v="192.18000000000001"/>
        <n v="2346.8499999999999"/>
        <n v="2047.78"/>
        <n v="805.52999999999997"/>
        <n v="1154.28"/>
        <n v="910.60000000000002"/>
        <n v="2562.2399999999998"/>
        <n v="3852.1999999999998"/>
        <n v="386.60000000000002"/>
        <n v="54.950000000000003"/>
        <n v="955.44000000000005"/>
        <n v="791.98000000000002"/>
        <n v="4663.96"/>
        <n v="262.73000000000002"/>
        <n v="361.44"/>
        <n v="1660.6500000000001"/>
        <n v="1449.4400000000001"/>
        <n v="3077.3600000000001"/>
        <n v="3396"/>
        <n v="226.31999999999999"/>
        <n v="1623.78"/>
        <n v="1253.28"/>
        <n v="150.69"/>
        <n v="4052.02"/>
        <n v="5563.3500000000004"/>
        <n v="1204.6800000000001"/>
        <n v="375.93000000000001"/>
        <n v="3921.4000000000001"/>
        <n v="535.89999999999998"/>
        <n v="1427.3"/>
        <n v="207.5"/>
        <n v="1449.8900000000001"/>
        <n v="1895.5"/>
        <n v="614.70000000000005"/>
        <n v="1463.4000000000001"/>
        <n v="1491"/>
        <n v="335.91000000000003"/>
        <n v="4063.9200000000001"/>
        <n v="2396.1599999999999"/>
        <n v="2471.04"/>
        <n v="1096.0799999999999"/>
        <n v="311.72000000000003"/>
        <n v="1482.8699999999999"/>
        <n v="1167"/>
        <n v="3277.9200000000001"/>
        <n v="4755.6599999999999"/>
        <n v="3840.4499999999998"/>
        <n v="7423.6499999999996"/>
        <n v="3776"/>
        <n v="522.39999999999998"/>
        <n v="1960.0899999999999"/>
        <n v="5809.96"/>
        <n v="930.63999999999999"/>
        <n v="565.79999999999995"/>
        <n v="707.89999999999998"/>
        <n v="433.36000000000001"/>
        <n v="1947.52"/>
        <n v="3452.54"/>
        <n v="1052.25"/>
        <n v="3569.4899999999998"/>
        <n v="1643.7"/>
        <n v="4293.6300000000001"/>
        <n v="3451.23"/>
        <n v="2420.0500000000002"/>
        <n v="3637.79"/>
        <n v="4644"/>
        <n v="4011.2399999999998"/>
        <n v="3013.9899999999998"/>
        <n v="1858.6400000000001"/>
        <n v="3418.4699999999998"/>
        <n v="5929.6999999999998"/>
        <n v="1394.75"/>
        <n v="417.5"/>
        <n v="137.30000000000001"/>
        <n v="3459.4699999999998"/>
        <n v="3614.2800000000002"/>
        <n v="6326.0600000000004"/>
        <n v="3339.8400000000001"/>
        <n v="1357.2"/>
        <n v="5207.8000000000002"/>
        <n v="66.849999999999994"/>
        <n v="2201.5"/>
        <n v="5137.4399999999996"/>
        <n v="4888.5200000000004"/>
        <n v="466.56"/>
        <n v="1613.6400000000001"/>
        <n v="4315.6800000000003"/>
        <n v="2734.48"/>
        <n v="2798.04"/>
        <n v="4707.2299999999996"/>
        <n v="4311.5799999999999"/>
        <n v="488.39999999999998"/>
        <n v="2189.9899999999998"/>
        <n v="1141.03"/>
        <n v="4243.2600000000002"/>
        <n v="5935.4399999999996"/>
        <n v="2081.0900000000001"/>
        <n v="432.05000000000001"/>
        <n v="107.09999999999999"/>
        <n v="3536.3899999999999"/>
        <n v="97.620000000000005"/>
        <n v="570.74000000000001"/>
        <n v="652.96000000000004"/>
        <n v="4224.5100000000002"/>
        <n v="1616.8"/>
        <n v="1072.8299999999999"/>
        <n v="1616.9400000000001"/>
        <n v="6104.4099999999999"/>
        <n v="337.63"/>
        <n v="391.26999999999998"/>
        <n v="445.01999999999998"/>
        <n v="920.75999999999999"/>
        <n v="1427.8"/>
        <n v="1307.0699999999999"/>
        <n v="3613.4000000000001"/>
        <n v="353.5"/>
        <n v="2751.9000000000001"/>
        <n v="4829.5500000000002"/>
        <n v="492.56999999999999"/>
        <n v="368.48000000000002"/>
        <n v="4692.9300000000003"/>
        <n v="1212.5"/>
        <n v="1562.1199999999999"/>
        <n v="24.920000000000002"/>
        <n v="304.5"/>
        <n v="400.07999999999998"/>
        <n v="694.98000000000002"/>
        <n v="1633.5"/>
        <n v="3291.5999999999999"/>
        <n v="1093.1199999999999"/>
        <n v="1186.2"/>
        <n v="2805.7199999999998"/>
        <n v="286.52999999999997"/>
        <n v="3269.52"/>
        <n v="967.91999999999996"/>
        <n v="266.80000000000001"/>
        <n v="4336.4200000000001"/>
        <n v="4266.3500000000004"/>
        <n v="1760.1300000000001"/>
        <n v="1389.6400000000001"/>
        <n v="220.15000000000001"/>
        <n v="2256.0999999999999"/>
        <n v="245.44"/>
        <n v="4229.1899999999996"/>
        <n v="1441.55"/>
        <n v="1187.3399999999999"/>
        <n v="3490.96"/>
        <n v="5770.96"/>
        <n v="4027.77"/>
        <n v="2040.78"/>
        <n v="338.36000000000001"/>
        <n v="1271.28"/>
        <n v="982.66999999999996"/>
        <n v="886.88"/>
        <n v="1325.79"/>
        <n v="1751.4000000000001"/>
        <n v="43.170000000000002"/>
        <n v="326.94999999999999"/>
        <n v="2284.1999999999998"/>
        <n v="6322.1199999999999"/>
        <n v="1656.76"/>
        <n v="1731.3"/>
        <n v="1325.04"/>
        <n v="211.75"/>
        <n v="5290.9200000000001"/>
        <n v="3927.6999999999998"/>
        <n v="3904.6999999999998"/>
        <n v="2498.5799999999999"/>
        <n v="260.88"/>
        <n v="1682.52"/>
        <n v="5553.96"/>
        <n v="946.98000000000002"/>
        <n v="777.26999999999998"/>
        <n v="4562.7399999999998"/>
        <n v="6216.5600000000004"/>
        <n v="1823.9100000000001"/>
        <n v="1930.8"/>
        <n v="3664.7199999999998"/>
        <n v="1267.1600000000001"/>
        <n v="5170.5500000000002"/>
        <n v="3089.6999999999998"/>
        <n v="447.48000000000002"/>
        <n v="431.85000000000002"/>
        <n v="6509.5500000000002"/>
        <n v="6998.25"/>
        <n v="412.92000000000002"/>
        <n v="3717.75"/>
        <n v="2270.1599999999999"/>
        <n v="1394.9000000000001"/>
        <n v="1967.3499999999999"/>
        <n v="1878.8"/>
        <n v="3793.6799999999998"/>
        <n v="454"/>
        <n v="2319.73"/>
        <n v="2243.04"/>
        <n v="5782.1999999999998"/>
        <n v="226.25999999999999"/>
        <n v="708.25999999999999"/>
        <n v="219.75"/>
        <n v="3174.96"/>
        <n v="354.66000000000003"/>
        <n v="1359.3800000000001"/>
        <n v="394.79000000000002"/>
        <n v="3482.9899999999998"/>
        <n v="1622.3599999999999"/>
        <n v="4931.1599999999999"/>
        <n v="5093.6599999999999"/>
        <n v="226.53"/>
        <n v="431.57999999999998"/>
        <n v="2867.2800000000002"/>
        <n v="489.80000000000001"/>
        <n v="2010.3599999999999"/>
        <n v="130.97999999999999"/>
        <n v="1180.3199999999999"/>
        <n v="1574"/>
        <n v="2018.75"/>
        <n v="522.08000000000004"/>
        <n v="355.56"/>
        <n v="1626.72"/>
        <n v="2482.75"/>
        <n v="2116.4400000000001"/>
        <n v="335.92000000000002"/>
        <n v="426.80000000000001"/>
        <n v="1783.25"/>
        <n v="6441.6300000000001"/>
        <n v="2968.0999999999999"/>
        <n v="1020.9"/>
        <n v="319.86000000000001"/>
        <n v="6042.9200000000001"/>
        <n v="587.42999999999995"/>
        <n v="755.59000000000003"/>
        <n v="655.89999999999998"/>
        <n v="2085.02"/>
        <n v="2648.9000000000001"/>
        <n v="867.32000000000005"/>
        <n v="2696.4000000000001"/>
        <n v="2232.0900000000001"/>
        <n v="4359.7200000000003"/>
        <n v="81.180000000000007"/>
        <n v="456.43000000000001"/>
        <n v="3845.0999999999999"/>
        <n v="559.13999999999999"/>
        <n v="5594.6400000000003"/>
        <n v="933.20000000000005"/>
        <n v="1057.5"/>
        <n v="1445.2"/>
        <n v="958.79999999999995"/>
        <n v="4417.1099999999997"/>
        <n v="1653.0999999999999"/>
        <n v="758.65999999999997"/>
        <n v="3575.9000000000001"/>
        <n v="5990.6999999999998"/>
        <n v="1436.55"/>
        <n v="2216.48"/>
        <n v="982.17999999999995"/>
        <n v="5513.8500000000004"/>
        <n v="990.51999999999998"/>
        <n v="414.48000000000002"/>
        <n v="269.85000000000002"/>
        <n v="846.21000000000004"/>
        <n v="6110.3999999999996"/>
        <n v="3774.5"/>
        <n v="1193.1600000000001"/>
        <n v="823.54999999999995"/>
        <n v="229.91"/>
        <n v="457.19999999999999"/>
        <n v="3053.9200000000001"/>
        <n v="454.41000000000003"/>
        <n v="468.30000000000001"/>
        <n v="4869.8999999999996"/>
        <n v="1722.3299999999999"/>
        <n v="4382.6999999999998"/>
        <n v="6451.0500000000002"/>
        <n v="4014.1399999999999"/>
        <n v="1090.0999999999999"/>
        <n v="2421.21"/>
        <n v="2521.9200000000001"/>
        <n v="167.52000000000001"/>
        <n v="959.90999999999997"/>
        <n v="1720.5999999999999"/>
        <n v="719.60000000000002"/>
        <n v="2432.6999999999998"/>
        <n v="2414.6399999999999"/>
        <n v="2151.9499999999998"/>
        <n v="815.22000000000003"/>
        <n v="3963.3099999999999"/>
        <n v="595.51999999999998"/>
        <n v="380.41000000000003"/>
        <n v="1423.8599999999999"/>
        <n v="156.34"/>
        <n v="6699.3000000000002"/>
        <n v="6009.8999999999996"/>
        <n v="339.54000000000002"/>
        <n v="2750.04"/>
        <n v="2291.6399999999999"/>
        <n v="4329.7200000000003"/>
        <n v="799.04999999999995"/>
        <n v="2144.0100000000002"/>
        <n v="3553.8800000000001"/>
        <n v="1928.22"/>
        <n v="389.89999999999998"/>
        <n v="1672.72"/>
        <n v="3084.8299999999999"/>
        <n v="583.36000000000001"/>
        <n v="5269.3500000000004"/>
        <n v="5002.1400000000003"/>
        <n v="5487.3500000000004"/>
        <n v="100.31999999999999"/>
        <n v="654.36000000000001"/>
        <n v="7276.5"/>
        <n v="5686.46"/>
        <n v="5923.71"/>
        <n v="825"/>
        <n v="331.83999999999997"/>
        <n v="1799.8199999999999"/>
        <n v="1135.8399999999999"/>
        <n v="3138.3000000000002"/>
        <n v="1450.2"/>
        <n v="3028.4000000000001"/>
        <n v="1372.6400000000001"/>
        <n v="1864.2"/>
        <n v="3269.6999999999998"/>
        <n v="2923.6900000000001"/>
        <n v="924.72000000000003"/>
        <n v="5235.4799999999996"/>
        <n v="978.48000000000002"/>
        <n v="4459.9799999999996"/>
        <n v="4348.0799999999999"/>
        <n v="350.62"/>
        <n v="2217.04"/>
        <n v="4368.9099999999999"/>
        <n v="3869.5799999999999"/>
        <n v="1540.0699999999999"/>
        <n v="1886.7"/>
        <n v="634.94000000000005"/>
        <n v="1114.54"/>
        <n v="354.88"/>
        <n v="3051.1500000000001"/>
        <n v="476.51999999999998"/>
        <n v="916.88"/>
        <n v="5326.8800000000001"/>
        <n v="1930.5599999999999"/>
        <n v="2977.98"/>
        <n v="762.40999999999997"/>
        <n v="2167.7399999999998"/>
        <n v="2073.2399999999998"/>
        <n v="649.36000000000001"/>
        <n v="306.06"/>
        <n v="5255.04"/>
        <n v="1489.1800000000001"/>
        <n v="1016.47"/>
        <n v="123.55"/>
        <n v="1305.72"/>
        <n v="5508.3599999999997"/>
        <n v="369.06999999999999"/>
        <n v="401.13"/>
        <n v="3134.8200000000002"/>
        <n v="5082.8400000000001"/>
        <n v="795.72000000000003"/>
        <n v="4256.7600000000002"/>
        <n v="2762.3400000000001"/>
        <n v="5927.2799999999997"/>
        <n v="4910.3599999999997"/>
        <n v="2810.4000000000001"/>
        <n v="866.75999999999999"/>
        <n v="1169.0799999999999"/>
        <n v="6722.5200000000004"/>
        <n v="4418.9099999999999"/>
        <n v="348.72000000000003"/>
        <n v="2948.8200000000002"/>
        <n v="3882.6700000000001"/>
        <n v="5965.0500000000002"/>
        <n v="486.80000000000001"/>
        <n v="5053.0200000000004"/>
        <n v="533.20000000000005"/>
        <n v="82.219999999999999"/>
        <n v="1957.7"/>
        <n v="258.89999999999998"/>
        <n v="1546.4000000000001"/>
        <n v="957.60000000000002"/>
        <n v="6754.8000000000002"/>
        <n v="3671.3600000000001"/>
        <n v="5321.5799999999999"/>
        <n v="2379.02"/>
        <n v="12.859999999999999"/>
        <n v="3786.2399999999998"/>
        <n v="985.38"/>
        <n v="2039.28"/>
        <n v="1108.24"/>
        <n v="970.32000000000005"/>
        <n v="1557.5999999999999"/>
        <n v="425.19"/>
        <n v="1857.9000000000001"/>
        <n v="1788"/>
        <n v="469"/>
        <n v="2943.6599999999999"/>
        <n v="3495.96"/>
        <n v="7281"/>
        <n v="2908.1799999999998"/>
        <n v="4528.6000000000004"/>
        <n v="549.44000000000005"/>
        <n v="2005.6400000000001"/>
        <n v="801.91999999999996"/>
        <n v="3303"/>
        <n v="244.55000000000001"/>
        <n v="7200.75"/>
        <n v="843.60000000000002"/>
        <n v="538.95000000000005"/>
        <n v="948.39999999999998"/>
        <n v="11.210000000000001"/>
        <n v="1908.7"/>
        <n v="3039.2600000000002"/>
        <n v="3988.27"/>
        <n v="2620.8000000000002"/>
        <n v="822.36000000000001"/>
        <n v="850.79999999999995"/>
        <n v="2697.9699999999998"/>
        <n v="1412.8"/>
        <n v="1641.75"/>
        <n v="4599.4300000000003"/>
        <n v="1777.2"/>
        <n v="717.15999999999997"/>
        <n v="2120.96"/>
        <n v="2901.0599999999999"/>
        <n v="171"/>
        <n v="137.16"/>
        <n v="940.5"/>
        <n v="1110.48"/>
        <n v="584.27999999999997"/>
        <n v="1234.1600000000001"/>
        <n v="228.80000000000001"/>
        <n v="2292.8400000000001"/>
        <n v="5196.1000000000004"/>
        <n v="784.08000000000004"/>
        <n v="2370.7600000000002"/>
        <n v="2620.3800000000001"/>
        <n v="348.68000000000001"/>
        <n v="5503.6800000000003"/>
        <n v="1282.05"/>
        <n v="2061.6999999999998"/>
        <n v="2620.3200000000002"/>
        <n v="153.80000000000001"/>
        <n v="2680.4400000000001"/>
        <n v="838.20000000000005"/>
        <n v="420.19999999999999"/>
        <n v="1807.52"/>
        <n v="3401.46"/>
        <n v="1884.8499999999999"/>
        <n v="1983.52"/>
        <n v="240.41999999999999"/>
        <n v="5532.4799999999996"/>
        <n v="2323.9299999999998"/>
        <n v="1005"/>
        <n v="386.92000000000002"/>
        <n v="2037.04"/>
        <n v="3120.48"/>
        <n v="68.069999999999993"/>
        <n v="322.31999999999999"/>
        <n v="3133.9099999999999"/>
        <n v="6698.1599999999999"/>
        <n v="2696.1900000000001"/>
        <n v="3497.1199999999999"/>
        <n v="1413.72"/>
        <n v="1048.74"/>
        <n v="865.51999999999998"/>
        <n v="2093.7800000000002"/>
        <n v="1810.53"/>
        <n v="774.55999999999995"/>
        <n v="1646.73"/>
        <n v="490"/>
        <n v="2484.54"/>
        <n v="3087.6799999999998"/>
        <n v="456.54000000000002"/>
        <n v="929.5"/>
        <n v="2624.4000000000001"/>
        <n v="1443"/>
        <n v="527.79999999999995"/>
        <n v="460.64999999999998"/>
        <n v="1226.9100000000001"/>
        <n v="653.79999999999995"/>
        <n v="38.350000000000001"/>
        <n v="4461.8000000000002"/>
        <n v="509.04000000000002"/>
        <n v="1588.0999999999999"/>
        <n v="3787.8000000000002"/>
        <n v="1591.5899999999999"/>
        <n v="1693"/>
        <n v="585.57000000000005"/>
        <n v="2296.48"/>
        <n v="5260.9700000000003"/>
        <n v="2356.9000000000001"/>
        <n v="2832.8299999999999"/>
        <n v="514.77999999999997"/>
        <n v="560.78999999999996"/>
        <n v="223"/>
        <n v="5773.5600000000004"/>
        <n v="886.32000000000005"/>
        <n v="297.33999999999997"/>
        <n v="480.10000000000002"/>
        <n v="233.09999999999999"/>
        <n v="4728.5699999999997"/>
        <n v="1602.0899999999999"/>
        <n v="524.41999999999996"/>
        <n v="5647.3199999999997"/>
        <n v="3750.48"/>
        <n v="135.44999999999999"/>
        <n v="6693.3000000000002"/>
        <n v="1938"/>
        <n v="255.56"/>
        <n v="670.08000000000004"/>
        <n v="2719.1999999999998"/>
        <n v="3537.48"/>
        <n v="1428.3"/>
        <n v="1294.0999999999999"/>
        <n v="6163.6400000000003"/>
        <n v="433.01999999999998"/>
        <n v="791.34000000000003"/>
        <n v="6278.6999999999998"/>
        <n v="1979.28"/>
        <n v="2685.48"/>
        <n v="2776.3000000000002"/>
        <n v="2807.0100000000002"/>
        <n v="1666.8599999999999"/>
        <n v="1141.1700000000001"/>
        <n v="643.59000000000003"/>
        <n v="1644.23"/>
        <n v="2562.1999999999998"/>
        <n v="383.30000000000001"/>
        <n v="250.36000000000001"/>
        <n v="330.19999999999999"/>
        <n v="2494.6599999999999"/>
        <n v="944.10000000000002"/>
        <n v="905.44000000000005"/>
        <n v="957.01999999999998"/>
        <n v="1293.4400000000001"/>
        <n v="73.879999999999995"/>
        <n v="3152.8699999999999"/>
        <n v="726.88"/>
        <n v="947.65999999999997"/>
        <n v="140.78"/>
        <n v="6346.3500000000004"/>
        <n v="2846.6900000000001"/>
        <n v="3538.4400000000001"/>
        <n v="1191.1800000000001"/>
        <n v="3590.4000000000001"/>
        <n v="808.47000000000003"/>
        <n v="862.5"/>
        <n v="4090"/>
        <n v="828.89999999999998"/>
        <n v="1175.25"/>
        <n v="2066.9000000000001"/>
        <n v="674.13999999999999"/>
        <n v="98.230000000000004"/>
        <n v="3914.6399999999999"/>
        <n v="2928.3200000000002"/>
        <n v="1985.8"/>
        <n v="4741.8800000000001"/>
        <n v="767.29999999999995"/>
        <n v="48.520000000000003"/>
        <n v="712.12"/>
        <n v="1367.4400000000001"/>
        <n v="485.10000000000002"/>
        <n v="1239.8699999999999"/>
        <n v="178.03999999999999"/>
        <n v="2362.5"/>
        <n v="1625.22"/>
        <n v="1964.4000000000001"/>
        <n v="1145.6099999999999"/>
        <n v="2201.1500000000001"/>
        <n v="795.65999999999997"/>
        <n v="573.72000000000003"/>
        <n v="994.11000000000001"/>
        <n v="1559.1800000000001"/>
        <n v="889.03999999999996"/>
        <n v="786.17999999999995"/>
        <n v="1355.52"/>
        <n v="288.12"/>
        <n v="512.58000000000004"/>
        <n v="4245.21"/>
        <n v="3444.5599999999999"/>
        <n v="4427.2799999999997"/>
        <n v="542.66999999999996"/>
        <n v="1127.8399999999999"/>
        <n v="1301.3699999999999"/>
        <n v="2998.0799999999999"/>
        <n v="1197.5"/>
        <n v="833.69000000000005"/>
        <n v="977.73000000000002"/>
        <n v="206.80000000000001"/>
        <n v="1390.74"/>
        <n v="4068.6999999999998"/>
        <n v="2946.5799999999999"/>
        <n v="1600.2"/>
        <n v="485.92000000000002"/>
        <n v="884.27999999999997"/>
        <n v="4737.7399999999998"/>
        <n v="580.15999999999997"/>
        <n v="2969"/>
        <n v="5146.1199999999999"/>
        <n v="3138.3600000000001"/>
        <n v="398.33999999999997"/>
        <n v="2772.4000000000001"/>
        <n v="2189.04"/>
        <n v="5126.8800000000001"/>
        <n v="332.73000000000002"/>
        <n v="153.81999999999999"/>
        <n v="2141.04"/>
        <n v="5983.3199999999997"/>
        <n v="1230.4000000000001"/>
        <n v="2740.8600000000001"/>
        <n v="1489.74"/>
        <n v="412"/>
        <n v="4992.3999999999996"/>
        <n v="1097.1600000000001"/>
        <n v="1056.25"/>
        <n v="3016.1300000000001"/>
        <n v="4445.3999999999996"/>
        <n v="744.94000000000005"/>
        <n v="431.94999999999999"/>
        <n v="2280.6300000000001"/>
        <n v="1698.71"/>
        <n v="1021.3"/>
        <n v="590.25999999999999"/>
        <n v="1323.8"/>
        <n v="560.79999999999995"/>
        <n v="3847.4400000000001"/>
        <n v="4336.3000000000002"/>
        <n v="382.56"/>
        <n v="239.05000000000001"/>
        <n v="369.60000000000002"/>
        <n v="397.72000000000003"/>
        <n v="1532.9000000000001"/>
        <n v="7198.8000000000002"/>
        <n v="658.03999999999996"/>
        <n v="1076.79"/>
        <n v="3890.25"/>
        <n v="2033.3599999999999"/>
        <n v="416.19"/>
        <n v="1979.52"/>
        <n v="3018.3000000000002"/>
        <n v="406.41000000000003"/>
        <n v="6198.8999999999996"/>
        <n v="5512.6400000000003"/>
        <n v="1306.1500000000001"/>
        <n v="4178.0200000000004"/>
        <n v="4898.1899999999996"/>
        <n v="711.45000000000005"/>
        <n v="6275.25"/>
        <n v="2919.2800000000002"/>
        <n v="74.540000000000006"/>
        <n v="2479"/>
        <n v="1214.72"/>
        <n v="5979.2399999999998"/>
        <n v="2722.1399999999999"/>
        <n v="2020.46"/>
        <n v="6391.3500000000004"/>
        <n v="826.74000000000001"/>
        <n v="1214.3199999999999"/>
        <n v="194.28"/>
        <n v="665.17999999999995"/>
        <n v="870.55999999999995"/>
        <n v="1326.9300000000001"/>
        <n v="1833.3599999999999"/>
        <n v="153.91"/>
        <n v="649.60000000000002"/>
        <n v="721.90999999999997"/>
        <n v="795.60000000000002"/>
        <n v="5370.7200000000003"/>
        <n v="2786.1999999999998"/>
        <n v="719.49000000000001"/>
        <n v="383.60000000000002"/>
        <n v="1787.9400000000001"/>
        <n v="820.33000000000004"/>
        <n v="911.03999999999996"/>
        <n v="209.38"/>
        <n v="5486.4700000000003"/>
        <n v="473.45999999999998"/>
        <n v="442.25999999999999"/>
        <n v="385.38"/>
        <n v="965.46000000000004"/>
        <n v="690.20000000000005"/>
        <n v="3207.0500000000002"/>
        <n v="255.15000000000001"/>
        <n v="696.91999999999996"/>
        <n v="1619.3599999999999"/>
        <n v="2392.4699999999998"/>
        <n v="447.31999999999999"/>
        <n v="435.70999999999998"/>
        <n v="4249.3999999999996"/>
        <n v="180.06"/>
        <n v="1693.4400000000001"/>
        <n v="1024.1700000000001"/>
        <n v="371.10000000000002"/>
        <n v="3068.73"/>
        <n v="351.42000000000002"/>
        <n v="931.60000000000002"/>
        <n v="2113.5"/>
        <n v="2368.8000000000002"/>
        <n v="787.47000000000003"/>
        <n v="5631.2399999999998"/>
        <n v="1974.8499999999999"/>
        <n v="178.56"/>
        <n v="587.03999999999996"/>
        <n v="439.42000000000002"/>
        <n v="3960.3200000000002"/>
        <n v="852.72000000000003"/>
        <n v="284.57999999999998"/>
        <n v="989.39999999999998"/>
        <n v="332.25"/>
        <n v="952.13999999999999"/>
        <n v="141.12"/>
        <n v="2286.0599999999999"/>
        <n v="204.12"/>
        <n v="1994.02"/>
        <n v="719.51999999999998"/>
        <n v="1020.54"/>
        <n v="4095.8400000000001"/>
        <n v="1125.1800000000001"/>
        <n v="492.05000000000001"/>
        <n v="2202.6999999999998"/>
        <n v="2188.5"/>
        <n v="150.09999999999999"/>
        <n v="1878.3"/>
        <n v="923.08000000000004"/>
        <n v="2999.6399999999999"/>
        <n v="3502.3200000000002"/>
        <n v="3312.98"/>
        <n v="355.19999999999999"/>
        <n v="321.80000000000001"/>
        <n v="316.11000000000001"/>
        <n v="2260.8000000000002"/>
        <n v="3872.1599999999999"/>
        <n v="1214.4000000000001"/>
        <n v="677.82000000000005"/>
        <n v="6501.3199999999997"/>
        <n v="858.12"/>
        <n v="1395.3"/>
        <n v="419.19999999999999"/>
        <n v="3906.6500000000001"/>
        <n v="474.25"/>
        <n v="5648.2399999999998"/>
        <n v="3236.0799999999999"/>
        <n v="197.65000000000001"/>
        <n v="1534.28"/>
        <n v="2735.8099999999999"/>
        <n v="935.75"/>
        <n v="4499.5500000000002"/>
        <n v="1701.52"/>
        <n v="1962.4000000000001"/>
        <n v="309.81"/>
        <n v="5016.5500000000002"/>
        <n v="4544.1499999999996"/>
        <n v="263.85000000000002"/>
        <n v="207.31999999999999"/>
        <n v="871.30999999999995"/>
        <n v="2652.4000000000001"/>
        <n v="5734.2600000000002"/>
        <n v="2498.46"/>
        <n v="1971.48"/>
        <n v="632.27999999999997"/>
        <n v="1258.02"/>
        <n v="1043.2"/>
      </sharedItems>
    </cacheField>
    <cacheField name="Discount (%)" numFmtId="0">
      <sharedItems containsSemiMixedTypes="0" containsString="0" containsNumber="1" minValue="0" maxValue="0.3" count="31">
        <n v="0.23000000000000001"/>
        <n v="0.11"/>
        <n v="0.01"/>
        <n v="0.14000000000000001"/>
        <n v="0.050000000000000003"/>
        <n v="0.28000000000000003"/>
        <n v="0.13"/>
        <n v="0.17000000000000001"/>
        <n v="0"/>
        <n v="0.23999999999999999"/>
        <n v="0.26000000000000001"/>
        <n v="0.059999999999999998"/>
        <n v="0.029999999999999999"/>
        <n v="0.070000000000000007"/>
        <n v="0.080000000000000002"/>
        <n v="0.25"/>
        <n v="0.16"/>
        <n v="0.27000000000000002"/>
        <n v="0.02"/>
        <n v="0.19"/>
        <n v="0.10000000000000001"/>
        <n v="0.20000000000000001"/>
        <n v="0.12"/>
        <n v="0.17999999999999999"/>
        <n v="0.20999999999999999"/>
        <n v="0.089999999999999997"/>
        <n v="0.28999999999999998"/>
        <n v="0.14999999999999999"/>
        <n v="0.22"/>
        <n v="0.040000000000000001"/>
        <n v="0.29999999999999999"/>
      </sharedItems>
    </cacheField>
    <cacheField name="Profit" numFmtId="0">
      <sharedItems containsSemiMixedTypes="0" containsString="0" containsNumber="1" minValue="-1492.22" maxValue="1580.63" count="990">
        <n v="-97.150000000000006"/>
        <n v="61.520000000000003"/>
        <n v="65.049999999999997"/>
        <n v="9.5600000000000005"/>
        <n v="122.73999999999999"/>
        <n v="-94.879999999999995"/>
        <n v="-54.009999999999998"/>
        <n v="413.27999999999997"/>
        <n v="-90.209999999999994"/>
        <n v="-253.69999999999999"/>
        <n v="4"/>
        <n v="-137.81999999999999"/>
        <n v="87.180000000000007"/>
        <n v="-290.75999999999999"/>
        <n v="281.88"/>
        <n v="304.58999999999997"/>
        <n v="1.3700000000000001"/>
        <n v="103.06999999999999"/>
        <n v="-14.06"/>
        <n v="-3.6400000000000001"/>
        <n v="144.78"/>
        <n v="-57.25"/>
        <n v="110.16"/>
        <n v="26.82"/>
        <n v="-81.219999999999999"/>
        <n v="-14.69"/>
        <n v="86.719999999999999"/>
        <n v="-165.21000000000001"/>
        <n v="63.759999999999998"/>
        <n v="758.49000000000001"/>
        <n v="70.090000000000003"/>
        <n v="119.38"/>
        <n v="-23.629999999999999"/>
        <n v="8.3900000000000006"/>
        <n v="-156"/>
        <n v="293.75"/>
        <n v="0.22"/>
        <n v="-392.97000000000003"/>
        <n v="25.600000000000001"/>
        <n v="-113.72"/>
        <n v="-383.94999999999999"/>
        <n v="-139.41"/>
        <n v="-1.53"/>
        <n v="8.7100000000000009"/>
        <n v="-6.0499999999999998"/>
        <n v="19.530000000000001"/>
        <n v="-83.760000000000005"/>
        <n v="314.62"/>
        <n v="-296.79000000000002"/>
        <n v="-7.3799999999999999"/>
        <n v="-31.190000000000001"/>
        <n v="-93.769999999999996"/>
        <n v="198.97"/>
        <n v="147.15000000000001"/>
        <n v="834.75999999999999"/>
        <n v="28.809999999999999"/>
        <n v="-551.21000000000004"/>
        <n v="-425.70999999999998"/>
        <n v="26.899999999999999"/>
        <n v="932"/>
        <n v="-57.030000000000001"/>
        <n v="332.08999999999997"/>
        <n v="-327.69999999999999"/>
        <n v="293.69999999999999"/>
        <n v="-320.37"/>
        <n v="-16.98"/>
        <n v="145.44"/>
        <n v="-120.54000000000001"/>
        <n v="-266.61000000000001"/>
        <n v="-222.88"/>
        <n v="19.699999999999999"/>
        <n v="31.25"/>
        <n v="-79.420000000000002"/>
        <n v="93.829999999999998"/>
        <n v="-99.299999999999997"/>
        <n v="-148.66"/>
        <n v="-26.609999999999999"/>
        <n v="74.150000000000006"/>
        <n v="976.88"/>
        <n v="-358.77999999999997"/>
        <n v="213.24000000000001"/>
        <n v="3.3399999999999999"/>
        <n v="65.280000000000001"/>
        <n v="-28.02"/>
        <n v="-66.030000000000001"/>
        <n v="-14.57"/>
        <n v="726.55999999999995"/>
        <n v="34.439999999999998"/>
        <n v="187.24000000000001"/>
        <n v="239.80000000000001"/>
        <n v="-5.1299999999999999"/>
        <n v="251.22999999999999"/>
        <n v="307.31999999999999"/>
        <n v="370.31"/>
        <n v="-441.86000000000001"/>
        <n v="205.08000000000001"/>
        <n v="-32.159999999999997"/>
        <n v="19.449999999999999"/>
        <n v="-33.340000000000003"/>
        <n v="265.94"/>
        <n v="24.719999999999999"/>
        <n v="-127.67"/>
        <n v="22.41"/>
        <n v="27.350000000000001"/>
        <n v="-48.07"/>
        <n v="48.380000000000003"/>
        <n v="-212.74000000000001"/>
        <n v="88.920000000000002"/>
        <n v="48.539999999999999"/>
        <n v="133.81999999999999"/>
        <n v="-152.11000000000001"/>
        <n v="58.049999999999997"/>
        <n v="38.020000000000003"/>
        <n v="121.98999999999999"/>
        <n v="18.719999999999999"/>
        <n v="-32.340000000000003"/>
        <n v="-69.459999999999994"/>
        <n v="24.280000000000001"/>
        <n v="-100.87"/>
        <n v="-3.96"/>
        <n v="-55.5"/>
        <n v="215.5"/>
        <n v="32.159999999999997"/>
        <n v="-92.680000000000007"/>
        <n v="26.129999999999999"/>
        <n v="-731.46000000000004"/>
        <n v="-227.63999999999999"/>
        <n v="141.56999999999999"/>
        <n v="30.48"/>
        <n v="7.7300000000000004"/>
        <n v="39.520000000000003"/>
        <n v="-681.61000000000001"/>
        <n v="36.119999999999997"/>
        <n v="-253.13"/>
        <n v="11.960000000000001"/>
        <n v="225.72999999999999"/>
        <n v="-63.399999999999999"/>
        <n v="4.4800000000000004"/>
        <n v="102.95999999999999"/>
        <n v="-794.77999999999997"/>
        <n v="-70.099999999999994"/>
        <n v="25.73"/>
        <n v="167.78999999999999"/>
        <n v="-126.90000000000001"/>
        <n v="204.88999999999999"/>
        <n v="-306.55000000000001"/>
        <n v="440.56"/>
        <n v="19.34"/>
        <n v="4.6500000000000004"/>
        <n v="-449.63999999999999"/>
        <n v="-178.91"/>
        <n v="4.5700000000000003"/>
        <n v="24.120000000000001"/>
        <n v="33.189999999999998"/>
        <n v="-550.54999999999995"/>
        <n v="85.719999999999999"/>
        <n v="-55.649999999999999"/>
        <n v="-26.460000000000001"/>
        <n v="59.520000000000003"/>
        <n v="-213.81"/>
        <n v="-357.91000000000003"/>
        <n v="27.170000000000002"/>
        <n v="22.309999999999999"/>
        <n v="-744.25999999999999"/>
        <n v="153.25"/>
        <n v="4.1299999999999999"/>
        <n v="197.83000000000001"/>
        <n v="-134.06999999999999"/>
        <n v="31.379999999999999"/>
        <n v="35.770000000000003"/>
        <n v="66.829999999999998"/>
        <n v="-40.200000000000003"/>
        <n v="-11.56"/>
        <n v="296.45999999999998"/>
        <n v="-20.68"/>
        <n v="88.739999999999995"/>
        <n v="-332.61000000000001"/>
        <n v="161.93000000000001"/>
        <n v="-907.36000000000001"/>
        <n v="-105.34999999999999"/>
        <n v="-42.719999999999999"/>
        <n v="-21.5"/>
        <n v="1.73"/>
        <n v="20.52"/>
        <n v="-375.56999999999999"/>
        <n v="23.210000000000001"/>
        <n v="12.630000000000001"/>
        <n v="23.07"/>
        <n v="51.149999999999999"/>
        <n v="-379.32999999999998"/>
        <n v="-5.8300000000000001"/>
        <n v="231.93000000000001"/>
        <n v="-150.56"/>
        <n v="-22.359999999999999"/>
        <n v="13.59"/>
        <n v="-268.92000000000002"/>
        <n v="-74.799999999999997"/>
        <n v="-313.75999999999999"/>
        <n v="-1492.22"/>
        <n v="0.76000000000000001"/>
        <n v="80.170000000000002"/>
        <n v="-98.239999999999995"/>
        <n v="-627.55999999999995"/>
        <n v="-146.63999999999999"/>
        <n v="-404.32999999999998"/>
        <n v="330.30000000000001"/>
        <n v="202.55000000000001"/>
        <n v="6.0800000000000001"/>
        <n v="-64.489999999999995"/>
        <n v="393.77999999999997"/>
        <n v="111.75"/>
        <n v="148.94999999999999"/>
        <n v="60.170000000000002"/>
        <n v="50.579999999999998"/>
        <n v="173.19"/>
        <n v="-503.44"/>
        <n v="-553.23000000000002"/>
        <n v="89.140000000000001"/>
        <n v="-192.63999999999999"/>
        <n v="167.33000000000001"/>
        <n v="50.43"/>
        <n v="-1035.3"/>
        <n v="-89.019999999999996"/>
        <n v="-36.840000000000003"/>
        <n v="215.94"/>
        <n v="298.22000000000003"/>
        <n v="-424.44"/>
        <n v="354.33999999999997"/>
        <n v="23.969999999999999"/>
        <n v="229.84"/>
        <n v="-52.68"/>
        <n v="-142.84999999999999"/>
        <n v="-397.56"/>
        <n v="27.649999999999999"/>
        <n v="19.010000000000002"/>
        <n v="32.979999999999997"/>
        <n v="6.3700000000000001"/>
        <n v="-66.019999999999996"/>
        <n v="-17.949999999999999"/>
        <n v="197.84"/>
        <n v="49.789999999999999"/>
        <n v="104.61"/>
        <n v="51.909999999999997"/>
        <n v="59.25"/>
        <n v="4.6699999999999999"/>
        <n v="-63.130000000000003"/>
        <n v="75.819999999999993"/>
        <n v="-89.959999999999994"/>
        <n v="27.329999999999998"/>
        <n v="-59.75"/>
        <n v="224.81"/>
        <n v="197.40000000000001"/>
        <n v="-520.47000000000003"/>
        <n v="-1.72"/>
        <n v="-15.390000000000001"/>
        <n v="-220.37"/>
        <n v="76.370000000000005"/>
        <n v="32.060000000000002"/>
        <n v="100.95"/>
        <n v="-72.930000000000007"/>
        <n v="-109.73"/>
        <n v="4.9199999999999999"/>
        <n v="447.54000000000002"/>
        <n v="15.73"/>
        <n v="-50.869999999999997"/>
        <n v="-11.25"/>
        <n v="59.450000000000003"/>
        <n v="102.98"/>
        <n v="50.329999999999998"/>
        <n v="-185.31"/>
        <n v="-204.38999999999999"/>
        <n v="-32.93"/>
        <n v="-177.66"/>
        <n v="25.300000000000001"/>
        <n v="-465.52999999999997"/>
        <n v="108.01000000000001"/>
        <n v="-23.760000000000002"/>
        <n v="27.43"/>
        <n v="-149.59999999999999"/>
        <n v="140.05000000000001"/>
        <n v="410.22000000000003"/>
        <n v="750.71000000000004"/>
        <n v="908.70000000000005"/>
        <n v="-113.23"/>
        <n v="111.67"/>
        <n v="262.52999999999997"/>
        <n v="771.64999999999998"/>
        <n v="53.310000000000002"/>
        <n v="-48.200000000000003"/>
        <n v="-87.430000000000007"/>
        <n v="287.79000000000002"/>
        <n v="149.59"/>
        <n v="127.72"/>
        <n v="213.69999999999999"/>
        <n v="-140.58000000000001"/>
        <n v="422.24000000000001"/>
        <n v="309.98000000000002"/>
        <n v="-409.86000000000001"/>
        <n v="-74.409999999999997"/>
        <n v="333.31999999999999"/>
        <n v="416.68000000000001"/>
        <n v="81.319999999999993"/>
        <n v="194.25999999999999"/>
        <n v="366.83999999999997"/>
        <n v="896.32000000000005"/>
        <n v="-11.74"/>
        <n v="37.030000000000001"/>
        <n v="7.4500000000000002"/>
        <n v="-8.9600000000000009"/>
        <n v="-335.87"/>
        <n v="-107.02"/>
        <n v="731.24000000000001"/>
        <n v="-147.91"/>
        <n v="606.08000000000004"/>
        <n v="5.8399999999999999"/>
        <n v="-220.24000000000001"/>
        <n v="428.24000000000001"/>
        <n v="-654.97000000000003"/>
        <n v="-50.57"/>
        <n v="302.79000000000002"/>
        <n v="294.94"/>
        <n v="4.9800000000000004"/>
        <n v="-164.66"/>
        <n v="-630.26999999999998"/>
        <n v="62.060000000000002"/>
        <n v="5.4699999999999998"/>
        <n v="-226.65000000000001"/>
        <n v="107.45999999999999"/>
        <n v="407.62"/>
        <n v="-383.56"/>
        <n v="307.01999999999998"/>
        <n v="-93.019999999999996"/>
        <n v="10.31"/>
        <n v="525.28999999999996"/>
        <n v="9.8200000000000003"/>
        <n v="40.719999999999999"/>
        <n v="29.870000000000001"/>
        <n v="-882.98000000000002"/>
        <n v="201.28999999999999"/>
        <n v="-134.81"/>
        <n v="92.209999999999994"/>
        <n v="791.62"/>
        <n v="-16.739999999999998"/>
        <n v="15.710000000000001"/>
        <n v="-21.02"/>
        <n v="-45"/>
        <n v="-125.81999999999999"/>
        <n v="61.82"/>
        <n v="-120.2"/>
        <n v="-1.8700000000000001"/>
        <n v="301.94999999999999"/>
        <n v="-130.05000000000001"/>
        <n v="72.390000000000001"/>
        <n v="9.4600000000000009"/>
        <n v="-70.069999999999993"/>
        <n v="43.890000000000001"/>
        <n v="-225.72"/>
        <n v="2.04"/>
        <n v="-16.329999999999998"/>
        <n v="37.969999999999999"/>
        <n v="28.309999999999999"/>
        <n v="75.640000000000001"/>
        <n v="592.98000000000002"/>
        <n v="132.41"/>
        <n v="119.88"/>
        <n v="32.759999999999998"/>
        <n v="-7.0599999999999996"/>
        <n v="47.640000000000001"/>
        <n v="68.489999999999995"/>
        <n v="-6.8899999999999997"/>
        <n v="739.45000000000005"/>
        <n v="-182.68000000000001"/>
        <n v="277.05000000000001"/>
        <n v="95.769999999999996"/>
        <n v="-14.33"/>
        <n v="303.23000000000002"/>
        <n v="20.940000000000001"/>
        <n v="46.759999999999998"/>
        <n v="15.48"/>
        <n v="-101.62"/>
        <n v="-583.49000000000001"/>
        <n v="1187.22"/>
        <n v="-116.13"/>
        <n v="217.69"/>
        <n v="-26.420000000000002"/>
        <n v="-45.729999999999997"/>
        <n v="21.620000000000001"/>
        <n v="-72.480000000000004"/>
        <n v="-97.540000000000006"/>
        <n v="340.5"/>
        <n v="7.5099999999999998"/>
        <n v="26.010000000000002"/>
        <n v="359.06999999999999"/>
        <n v="-470.52999999999997"/>
        <n v="96.359999999999999"/>
        <n v="-57.240000000000002"/>
        <n v="-143.31999999999999"/>
        <n v="29.07"/>
        <n v="74.420000000000002"/>
        <n v="-440.33999999999997"/>
        <n v="330.45999999999998"/>
        <n v="-67.629999999999995"/>
        <n v="-3.4100000000000001"/>
        <n v="-172.16"/>
        <n v="589.99000000000001"/>
        <n v="174.58000000000001"/>
        <n v="28.66"/>
        <n v="-902.84000000000003"/>
        <n v="-1179.4100000000001"/>
        <n v="210.97"/>
        <n v="-45.420000000000002"/>
        <n v="284.81"/>
        <n v="86.75"/>
        <n v="703.58000000000004"/>
        <n v="-476.12"/>
        <n v="-1.04"/>
        <n v="-11.279999999999999"/>
        <n v="615.91999999999996"/>
        <n v="-762.00999999999999"/>
        <n v="96.459999999999994"/>
        <n v="-675.75999999999999"/>
        <n v="-145.78999999999999"/>
        <n v="100.53"/>
        <n v="268.22000000000003"/>
        <n v="-22.16"/>
        <n v="45.060000000000002"/>
        <n v="-9.6400000000000006"/>
        <n v="44.450000000000003"/>
        <n v="-72.939999999999998"/>
        <n v="182.36000000000001"/>
        <n v="35.539999999999999"/>
        <n v="-13.76"/>
        <n v="-27.050000000000001"/>
        <n v="-93.049999999999997"/>
        <n v="37.890000000000001"/>
        <n v="61.68"/>
        <n v="19.260000000000002"/>
        <n v="503.74000000000001"/>
        <n v="-203.84"/>
        <n v="-800.23000000000002"/>
        <n v="-138.53999999999999"/>
        <n v="-35.409999999999997"/>
        <n v="-17.41"/>
        <n v="201.88999999999999"/>
        <n v="11.06"/>
        <n v="-269.38"/>
        <n v="30.579999999999998"/>
        <n v="34.109999999999999"/>
        <n v="75.969999999999999"/>
        <n v="4.1399999999999997"/>
        <n v="114.34999999999999"/>
        <n v="-69.359999999999999"/>
        <n v="246.74000000000001"/>
        <n v="423.10000000000002"/>
        <n v="-140.78"/>
        <n v="-31.32"/>
        <n v="-26.789999999999999"/>
        <n v="170.03999999999999"/>
        <n v="496.35000000000002"/>
        <n v="41.030000000000001"/>
        <n v="-107.97"/>
        <n v="-1.78"/>
        <n v="-194.66"/>
        <n v="-38.840000000000003"/>
        <n v="-169.15000000000001"/>
        <n v="-8.3300000000000001"/>
        <n v="-252.84"/>
        <n v="-536.55999999999995"/>
        <n v="16.149999999999999"/>
        <n v="-266.48000000000002"/>
        <n v="-49.090000000000003"/>
        <n v="-81.670000000000002"/>
        <n v="8.3000000000000007"/>
        <n v="70.25"/>
        <n v="-206.75"/>
        <n v="-7.1200000000000001"/>
        <n v="1199.8900000000001"/>
        <n v="15.789999999999999"/>
        <n v="113.83"/>
        <n v="-255.05000000000001"/>
        <n v="-0.85999999999999999"/>
        <n v="678.92999999999995"/>
        <n v="5.9299999999999997"/>
        <n v="-139.52000000000001"/>
        <n v="453.26999999999998"/>
        <n v="429.68000000000001"/>
        <n v="-52.700000000000003"/>
        <n v="263.22000000000003"/>
        <n v="-12.390000000000001"/>
        <n v="-242.25"/>
        <n v="16.780000000000001"/>
        <n v="24.850000000000001"/>
        <n v="-45.700000000000003"/>
        <n v="46.93"/>
        <n v="404.39999999999998"/>
        <n v="373.63"/>
        <n v="-10.19"/>
        <n v="-99.799999999999997"/>
        <n v="-36.460000000000001"/>
        <n v="-44.5"/>
        <n v="674.38999999999999"/>
        <n v="21.329999999999998"/>
        <n v="-24.510000000000002"/>
        <n v="328.94999999999999"/>
        <n v="-246.12"/>
        <n v="145.88999999999999"/>
        <n v="-79.849999999999994"/>
        <n v="626.72000000000003"/>
        <n v="-232.88999999999999"/>
        <n v="-278.63"/>
        <n v="-242.72999999999999"/>
        <n v="36.469999999999999"/>
        <n v="-51.700000000000003"/>
        <n v="396.02999999999997"/>
        <n v="-64.359999999999999"/>
        <n v="333.95999999999998"/>
        <n v="378.69"/>
        <n v="160.52000000000001"/>
        <n v="-8.2300000000000004"/>
        <n v="-411.24000000000001"/>
        <n v="-102.52"/>
        <n v="-53.07"/>
        <n v="-52.509999999999998"/>
        <n v="21.890000000000001"/>
        <n v="1272.0999999999999"/>
        <n v="-780.80999999999995"/>
        <n v="-2.9300000000000002"/>
        <n v="193.30000000000001"/>
        <n v="363.77999999999997"/>
        <n v="687.03999999999996"/>
        <n v="-83.379999999999995"/>
        <n v="80.260000000000005"/>
        <n v="486.82999999999998"/>
        <n v="-184.55000000000001"/>
        <n v="-64.159999999999997"/>
        <n v="-92.489999999999995"/>
        <n v="-351.35000000000002"/>
        <n v="22.199999999999999"/>
        <n v="-754.73000000000002"/>
        <n v="-427.44999999999999"/>
        <n v="693.24000000000001"/>
        <n v="13.550000000000001"/>
        <n v="111.15000000000001"/>
        <n v="-792.30999999999995"/>
        <n v="909.49000000000001"/>
        <n v="-962.5"/>
        <n v="34.689999999999998"/>
        <n v="-3.1299999999999999"/>
        <n v="-96.579999999999998"/>
        <n v="109.90000000000001"/>
        <n v="-182.03999999999999"/>
        <n v="-296.95999999999998"/>
        <n v="734.34000000000003"/>
        <n v="47.450000000000003"/>
        <n v="119.26000000000001"/>
        <n v="-244.03"/>
        <n v="-508.17000000000002"/>
        <n v="177.36000000000001"/>
        <n v="912.38999999999999"/>
        <n v="-152.30000000000001"/>
        <n v="91.519999999999996"/>
        <n v="-349.17000000000002"/>
        <n v="-61.82"/>
        <n v="5.0199999999999996"/>
        <n v="-111.36"/>
        <n v="91.189999999999998"/>
        <n v="-218.33000000000001"/>
        <n v="80.870000000000005"/>
        <n v="-67.959999999999994"/>
        <n v="96.280000000000001"/>
        <n v="-9.0800000000000001"/>
        <n v="45.689999999999998"/>
        <n v="-50.619999999999997"/>
        <n v="152.88"/>
        <n v="-697.05999999999995"/>
        <n v="159.53"/>
        <n v="-89.900000000000006"/>
        <n v="-40.259999999999998"/>
        <n v="168.96000000000001"/>
        <n v="-227.52000000000001"/>
        <n v="-11.65"/>
        <n v="42.770000000000003"/>
        <n v="336.62"/>
        <n v="186.69"/>
        <n v="55.880000000000003"/>
        <n v="11.390000000000001"/>
        <n v="10.83"/>
        <n v="513.75"/>
        <n v="-27.579999999999998"/>
        <n v="13.619999999999999"/>
        <n v="225.87"/>
        <n v="-505.25999999999999"/>
        <n v="-16.649999999999999"/>
        <n v="63.030000000000001"/>
        <n v="-97.609999999999999"/>
        <n v="-201.06"/>
        <n v="623.32000000000005"/>
        <n v="-35.560000000000002"/>
        <n v="-144.53"/>
        <n v="129.21000000000001"/>
        <n v="716.37"/>
        <n v="-183.47999999999999"/>
        <n v="49.020000000000003"/>
        <n v="-175.21000000000001"/>
        <n v="290.66000000000003"/>
        <n v="-352.51999999999998"/>
        <n v="-12.41"/>
        <n v="-350.95999999999998"/>
        <n v="95.629999999999995"/>
        <n v="17.68"/>
        <n v="292.49000000000001"/>
        <n v="0.75"/>
        <n v="-169.90000000000001"/>
        <n v="158.61000000000001"/>
        <n v="1302.7"/>
        <n v="-191.81"/>
        <n v="1094.4000000000001"/>
        <n v="266.06999999999999"/>
        <n v="0.68000000000000005"/>
        <n v="-311.87"/>
        <n v="12.460000000000001"/>
        <n v="301.31"/>
        <n v="-35.030000000000001"/>
        <n v="-37.280000000000001"/>
        <n v="-72.629999999999995"/>
        <n v="-19.73"/>
        <n v="111.06"/>
        <n v="-242.62"/>
        <n v="38.340000000000003"/>
        <n v="-88.700000000000003"/>
        <n v="180.66999999999999"/>
        <n v="357.42000000000002"/>
        <n v="140.19999999999999"/>
        <n v="714.44000000000005"/>
        <n v="26.09"/>
        <n v="28.989999999999998"/>
        <n v="5.6600000000000001"/>
        <n v="477.37"/>
        <n v="-57.920000000000002"/>
        <n v="-39.159999999999997"/>
        <n v="-1.8500000000000001"/>
        <n v="-113.70999999999999"/>
        <n v="47.68"/>
        <n v="1.4399999999999999"/>
        <n v="6.5"/>
        <n v="-236.63999999999999"/>
        <n v="-197.59999999999999"/>
        <n v="243.41999999999999"/>
        <n v="16.530000000000001"/>
        <n v="-98.650000000000006"/>
        <n v="-47.140000000000001"/>
        <n v="-225.78"/>
        <n v="121.01000000000001"/>
        <n v="-324.12"/>
        <n v="66.640000000000001"/>
        <n v="-18.489999999999998"/>
        <n v="0.27000000000000002"/>
        <n v="-551.00999999999999"/>
        <n v="20.640000000000001"/>
        <n v="33.439999999999998"/>
        <n v="74.390000000000001"/>
        <n v="-148.83000000000001"/>
        <n v="-57.659999999999997"/>
        <n v="166.59"/>
        <n v="-18.210000000000001"/>
        <n v="543.23000000000002"/>
        <n v="-771.69000000000005"/>
        <n v="58.460000000000001"/>
        <n v="143.13"/>
        <n v="-22.969999999999999"/>
        <n v="0.40000000000000002"/>
        <n v="-981.75"/>
        <n v="12.359999999999999"/>
        <n v="-355.44999999999999"/>
        <n v="-180.31"/>
        <n v="20.010000000000002"/>
        <n v="-200.22999999999999"/>
        <n v="-135.24000000000001"/>
        <n v="13.02"/>
        <n v="283.91000000000003"/>
        <n v="-243.80000000000001"/>
        <n v="334.55000000000001"/>
        <n v="-411.17000000000002"/>
        <n v="-28.129999999999999"/>
        <n v="903.13"/>
        <n v="-52.890000000000001"/>
        <n v="80.239999999999995"/>
        <n v="-16.300000000000001"/>
        <n v="-193.66"/>
        <n v="255.55000000000001"/>
        <n v="4.2999999999999998"/>
        <n v="30.649999999999999"/>
        <n v="-9.6899999999999995"/>
        <n v="-494.48000000000002"/>
        <n v="-67.299999999999997"/>
        <n v="-530.24000000000001"/>
        <n v="-121.7"/>
        <n v="-124.33"/>
        <n v="118.78"/>
        <n v="406.35000000000002"/>
        <n v="-307.74000000000001"/>
        <n v="-34.670000000000002"/>
        <n v="72.310000000000002"/>
        <n v="53.789999999999999"/>
        <n v="-320.67000000000002"/>
        <n v="-203.91999999999999"/>
        <n v="91.420000000000002"/>
        <n v="-58.32"/>
        <n v="-13.199999999999999"/>
        <n v="-75.319999999999993"/>
        <n v="79.420000000000002"/>
        <n v="-74.780000000000001"/>
        <n v="85.459999999999994"/>
        <n v="-42.159999999999997"/>
        <n v="8.9499999999999993"/>
        <n v="533.47000000000003"/>
        <n v="71.069999999999993"/>
        <n v="-27.809999999999999"/>
        <n v="-133.86000000000001"/>
        <n v="133"/>
        <n v="115.76000000000001"/>
        <n v="-27.449999999999999"/>
        <n v="258.17000000000002"/>
        <n v="-646.74000000000001"/>
        <n v="-127.90000000000001"/>
        <n v="322.06999999999999"/>
        <n v="27.079999999999998"/>
        <n v="-92.569999999999993"/>
        <n v="22.789999999999999"/>
        <n v="-1191.71"/>
        <n v="-122.84999999999999"/>
        <n v="51.670000000000002"/>
        <n v="-38.219999999999999"/>
        <n v="229.19999999999999"/>
        <n v="-224.44"/>
        <n v="48.950000000000003"/>
        <n v="284.56999999999999"/>
        <n v="616.21000000000004"/>
        <n v="15.66"/>
        <n v="359.33999999999997"/>
        <n v="-113.58"/>
        <n v="-33.18"/>
        <n v="62.619999999999997"/>
        <n v="-304.31999999999999"/>
        <n v="51.07"/>
        <n v="95.489999999999995"/>
        <n v="-16.440000000000001"/>
        <n v="691.21000000000004"/>
        <n v="-43.740000000000002"/>
        <n v="-1238.54"/>
        <n v="-128.05000000000001"/>
        <n v="418.33999999999997"/>
        <n v="111.87"/>
        <n v="117.69"/>
        <n v="-32.07"/>
        <n v="-115"/>
        <n v="-23.879999999999999"/>
        <n v="82.650000000000006"/>
        <n v="33.729999999999997"/>
        <n v="-1.8600000000000001"/>
        <n v="1.1599999999999999"/>
        <n v="452.19999999999999"/>
        <n v="-0.39000000000000001"/>
        <n v="106.03"/>
        <n v="55.700000000000003"/>
        <n v="77.310000000000002"/>
        <n v="18.34"/>
        <n v="-601.62"/>
        <n v="85.650000000000006"/>
        <n v="90.150000000000006"/>
        <n v="7.2800000000000002"/>
        <n v="129.81"/>
        <n v="555.22000000000003"/>
        <n v="-521.21000000000004"/>
        <n v="63.850000000000001"/>
        <n v="407.42000000000002"/>
        <n v="68.769999999999996"/>
        <n v="-7.2000000000000002"/>
        <n v="262.44999999999999"/>
        <n v="-28.690000000000001"/>
        <n v="-69.819999999999993"/>
        <n v="-112.01000000000001"/>
        <n v="-96.680000000000007"/>
        <n v="17.920000000000002"/>
        <n v="44.210000000000001"/>
        <n v="-63.149999999999999"/>
        <n v="-473.80000000000001"/>
        <n v="-37.509999999999998"/>
        <n v="-15.66"/>
        <n v="11.109999999999999"/>
        <n v="154.50999999999999"/>
        <n v="-60.270000000000003"/>
        <n v="-21.739999999999998"/>
        <n v="-184.78"/>
        <n v="23.940000000000001"/>
        <n v="-209.80000000000001"/>
        <n v="-54.5"/>
        <n v="-4.54"/>
        <n v="-177.74000000000001"/>
        <n v="-19.719999999999999"/>
        <n v="-19.079999999999998"/>
        <n v="-70.439999999999998"/>
        <n v="-28.48"/>
        <n v="70.579999999999998"/>
        <n v="22.82"/>
        <n v="66.280000000000001"/>
        <n v="41.25"/>
        <n v="76.680000000000007"/>
        <n v="-884.26999999999998"/>
        <n v="-443.11000000000001"/>
        <n v="-107.48999999999999"/>
        <n v="93.980000000000004"/>
        <n v="2.9700000000000002"/>
        <n v="-333.07999999999998"/>
        <n v="-125.66"/>
        <n v="-55.07"/>
        <n v="-85.140000000000001"/>
        <n v="26.149999999999999"/>
        <n v="-212.49000000000001"/>
        <n v="-192.69999999999999"/>
        <n v="-376"/>
        <n v="-11.32"/>
        <n v="-39.329999999999998"/>
        <n v="-93.909999999999997"/>
        <n v="970.38999999999999"/>
        <n v="101.15000000000001"/>
        <n v="100.18000000000001"/>
        <n v="-291.33999999999997"/>
        <n v="0.02"/>
        <n v="2.0800000000000001"/>
        <n v="190.25"/>
        <n v="58.57"/>
        <n v="-78.390000000000001"/>
        <n v="27.210000000000001"/>
        <n v="21.879999999999999"/>
        <n v="334.45999999999998"/>
        <n v="-1330.74"/>
        <n v="198.94"/>
        <n v="-117.70999999999999"/>
        <n v="-61.149999999999999"/>
        <n v="-14.52"/>
        <n v="374.69"/>
        <n v="-50.159999999999997"/>
        <n v="36.299999999999997"/>
        <n v="312.56999999999999"/>
        <n v="-379.31999999999999"/>
        <n v="11.23"/>
        <n v="-9.3100000000000005"/>
        <n v="-83.049999999999997"/>
        <n v="-188.66"/>
        <n v="-12.18"/>
        <n v="-9.3699999999999992"/>
        <n v="241.47999999999999"/>
        <n v="43.5"/>
        <n v="-259.54000000000002"/>
        <n v="881.74000000000001"/>
        <n v="56.729999999999997"/>
        <n v="-14.9"/>
        <n v="41.240000000000002"/>
        <n v="18.800000000000001"/>
        <n v="-205.5"/>
        <n v="1580.6300000000001"/>
        <n v="94.019999999999996"/>
        <n v="-130.22999999999999"/>
        <n v="-275.64999999999998"/>
        <n v="37.020000000000003"/>
        <n v="24.440000000000001"/>
        <n v="39.030000000000001"/>
        <n v="-410.56"/>
        <n v="21.100000000000001"/>
        <n v="-1410.4300000000001"/>
        <n v="718.07000000000005"/>
        <n v="-251.74000000000001"/>
        <n v="365.32999999999998"/>
        <n v="-16.59"/>
        <n v="-37.359999999999999"/>
        <n v="145.80000000000001"/>
        <n v="-609.75999999999999"/>
        <n v="13.460000000000001"/>
        <n v="-39.670000000000002"/>
        <n v="-141.06"/>
        <n v="-8.7699999999999996"/>
        <n v="-540.88999999999999"/>
        <n v="-313.17000000000002"/>
        <n v="228.93000000000001"/>
        <n v="125.12"/>
        <n v="-264.23000000000002"/>
        <n v="46.090000000000003"/>
        <n v="-25.859999999999999"/>
        <n v="85.269999999999996"/>
        <n v="15.32"/>
        <n v="31.41"/>
        <n v="59.960000000000001"/>
        <n v="-100.72"/>
        <n v="66.900000000000006"/>
        <n v="-235.44"/>
        <n v="-221.97999999999999"/>
        <n v="-63.780000000000001"/>
        <n v="19.829999999999998"/>
        <n v="-97.120000000000005"/>
        <n v="122.20999999999999"/>
        <n v="-48.670000000000002"/>
        <n v="-21.41"/>
        <n v="-535.75999999999999"/>
        <n v="12.77"/>
        <n v="21.719999999999999"/>
        <n v="-7.5999999999999996"/>
        <n v="-54.25"/>
        <n v="-80.390000000000001"/>
        <n v="736.83000000000004"/>
        <n v="-34.560000000000002"/>
        <n v="-19.16"/>
        <n v="7.3899999999999997"/>
        <n v="43.539999999999999"/>
        <n v="-43.909999999999997"/>
        <n v="-43.710000000000001"/>
        <n v="39.780000000000001"/>
        <n v="-96.349999999999994"/>
        <n v="20.609999999999999"/>
        <n v="260.33999999999997"/>
        <n v="-24.460000000000001"/>
        <n v="-46.229999999999997"/>
        <n v="-278.29000000000002"/>
        <n v="39.560000000000002"/>
        <n v="76.900000000000006"/>
        <n v="61.090000000000003"/>
        <n v="367.58999999999997"/>
        <n v="84.510000000000005"/>
        <n v="-193.02000000000001"/>
        <n v="-13.25"/>
        <n v="20.170000000000002"/>
        <n v="11.41"/>
        <n v="63.490000000000002"/>
        <n v="-600.65999999999997"/>
        <n v="-6.1500000000000004"/>
        <n v="-13.57"/>
        <n v="15"/>
        <n v="-1.1100000000000001"/>
        <n v="25.579999999999998"/>
        <n v="30.289999999999999"/>
        <n v="215.00999999999999"/>
        <n v="22.239999999999998"/>
        <n v="-448.67000000000002"/>
        <n v="0.69999999999999996"/>
        <n v="6.1100000000000003"/>
        <n v="-180.24000000000001"/>
        <n v="-51.810000000000002"/>
        <n v="31.879999999999999"/>
        <n v="-47.409999999999997"/>
        <n v="223.22"/>
        <n v="24.559999999999999"/>
        <n v="-319.80000000000001"/>
        <n v="31.57"/>
        <n v="246.19999999999999"/>
        <n v="722.40999999999997"/>
        <n v="-722.30999999999995"/>
        <n v="19.09"/>
        <n v="-38.600000000000001"/>
        <n v="-21.190000000000001"/>
        <n v="177.47"/>
        <n v="-278.13999999999999"/>
        <n v="17.210000000000001"/>
        <n v="-99.180000000000007"/>
        <n v="-200.72"/>
        <n v="-104.91"/>
        <n v="28.030000000000001"/>
        <n v="24.620000000000001"/>
        <n v="-58.380000000000003"/>
        <n v="101.59"/>
        <n v="-127.34999999999999"/>
        <n v="-536.02999999999997"/>
        <n v="39.869999999999997"/>
        <n v="-112.69"/>
        <n v="-89.540000000000006"/>
        <n v="-107.75"/>
        <n v="-225.15000000000001"/>
        <n v="268.67000000000002"/>
        <n v="-25.760000000000002"/>
        <n v="-100.76000000000001"/>
        <n v="-717.48000000000002"/>
        <n v="33.479999999999997"/>
        <n v="-44.719999999999999"/>
        <n v="54.600000000000001"/>
        <n v="33.850000000000001"/>
        <n v="-526.35000000000002"/>
        <n v="-196.71000000000001"/>
        <n v="-62.549999999999997"/>
        <n v="36.759999999999998"/>
        <n v="6.5899999999999999"/>
        <n v="158.99000000000001"/>
      </sharedItems>
    </cacheField>
    <cacheField name="Shipping Mode" numFmtId="0">
      <sharedItems count="4">
        <s v="Same Day"/>
        <s v="Second Class"/>
        <s v="Standard Class"/>
        <s v="First Class"/>
      </sharedItems>
    </cacheField>
    <cacheField name="Discount Bucket" numFmtId="0">
      <sharedItems count="3">
        <s v="20%+"/>
        <s v="10-20%"/>
        <s v="0-10%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1000">
  <r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1"/>
    <x v="1"/>
    <x v="1"/>
  </r>
  <r>
    <x v="2"/>
    <x v="2"/>
    <x v="1"/>
    <x v="0"/>
    <x v="1"/>
    <x v="2"/>
    <x v="2"/>
    <x v="2"/>
    <x v="2"/>
    <x v="2"/>
    <x v="2"/>
    <x v="0"/>
  </r>
  <r>
    <x v="3"/>
    <x v="3"/>
    <x v="2"/>
    <x v="2"/>
    <x v="1"/>
    <x v="3"/>
    <x v="3"/>
    <x v="3"/>
    <x v="3"/>
    <x v="3"/>
    <x v="3"/>
    <x v="2"/>
  </r>
  <r>
    <x v="4"/>
    <x v="4"/>
    <x v="1"/>
    <x v="2"/>
    <x v="2"/>
    <x v="4"/>
    <x v="4"/>
    <x v="1"/>
    <x v="4"/>
    <x v="4"/>
    <x v="4"/>
    <x v="0"/>
  </r>
  <r>
    <x v="5"/>
    <x v="5"/>
    <x v="0"/>
    <x v="1"/>
    <x v="1"/>
    <x v="5"/>
    <x v="5"/>
    <x v="4"/>
    <x v="5"/>
    <x v="5"/>
    <x v="5"/>
    <x v="2"/>
  </r>
  <r>
    <x v="6"/>
    <x v="6"/>
    <x v="0"/>
    <x v="1"/>
    <x v="2"/>
    <x v="6"/>
    <x v="6"/>
    <x v="0"/>
    <x v="6"/>
    <x v="5"/>
    <x v="6"/>
    <x v="2"/>
  </r>
  <r>
    <x v="7"/>
    <x v="7"/>
    <x v="2"/>
    <x v="2"/>
    <x v="0"/>
    <x v="7"/>
    <x v="7"/>
    <x v="5"/>
    <x v="7"/>
    <x v="6"/>
    <x v="7"/>
    <x v="3"/>
  </r>
  <r>
    <x v="8"/>
    <x v="8"/>
    <x v="3"/>
    <x v="3"/>
    <x v="2"/>
    <x v="8"/>
    <x v="8"/>
    <x v="6"/>
    <x v="8"/>
    <x v="3"/>
    <x v="8"/>
    <x v="1"/>
  </r>
  <r>
    <x v="9"/>
    <x v="9"/>
    <x v="3"/>
    <x v="2"/>
    <x v="3"/>
    <x v="9"/>
    <x v="9"/>
    <x v="5"/>
    <x v="9"/>
    <x v="7"/>
    <x v="9"/>
    <x v="1"/>
  </r>
  <r>
    <x v="10"/>
    <x v="10"/>
    <x v="1"/>
    <x v="1"/>
    <x v="3"/>
    <x v="10"/>
    <x v="10"/>
    <x v="0"/>
    <x v="10"/>
    <x v="8"/>
    <x v="10"/>
    <x v="1"/>
  </r>
  <r>
    <x v="11"/>
    <x v="11"/>
    <x v="2"/>
    <x v="0"/>
    <x v="2"/>
    <x v="11"/>
    <x v="11"/>
    <x v="7"/>
    <x v="11"/>
    <x v="9"/>
    <x v="11"/>
    <x v="2"/>
  </r>
  <r>
    <x v="12"/>
    <x v="12"/>
    <x v="1"/>
    <x v="0"/>
    <x v="3"/>
    <x v="12"/>
    <x v="12"/>
    <x v="7"/>
    <x v="12"/>
    <x v="3"/>
    <x v="12"/>
    <x v="0"/>
  </r>
  <r>
    <x v="13"/>
    <x v="13"/>
    <x v="2"/>
    <x v="4"/>
    <x v="0"/>
    <x v="13"/>
    <x v="13"/>
    <x v="7"/>
    <x v="13"/>
    <x v="10"/>
    <x v="13"/>
    <x v="3"/>
  </r>
  <r>
    <x v="14"/>
    <x v="14"/>
    <x v="2"/>
    <x v="0"/>
    <x v="1"/>
    <x v="3"/>
    <x v="14"/>
    <x v="2"/>
    <x v="14"/>
    <x v="11"/>
    <x v="14"/>
    <x v="2"/>
  </r>
  <r>
    <x v="15"/>
    <x v="15"/>
    <x v="2"/>
    <x v="2"/>
    <x v="1"/>
    <x v="1"/>
    <x v="15"/>
    <x v="8"/>
    <x v="15"/>
    <x v="12"/>
    <x v="15"/>
    <x v="3"/>
  </r>
  <r>
    <x v="16"/>
    <x v="16"/>
    <x v="0"/>
    <x v="0"/>
    <x v="3"/>
    <x v="14"/>
    <x v="16"/>
    <x v="9"/>
    <x v="16"/>
    <x v="13"/>
    <x v="16"/>
    <x v="1"/>
  </r>
  <r>
    <x v="17"/>
    <x v="17"/>
    <x v="2"/>
    <x v="3"/>
    <x v="1"/>
    <x v="5"/>
    <x v="17"/>
    <x v="0"/>
    <x v="17"/>
    <x v="1"/>
    <x v="17"/>
    <x v="3"/>
  </r>
  <r>
    <x v="18"/>
    <x v="18"/>
    <x v="1"/>
    <x v="3"/>
    <x v="1"/>
    <x v="1"/>
    <x v="18"/>
    <x v="6"/>
    <x v="18"/>
    <x v="14"/>
    <x v="18"/>
    <x v="1"/>
  </r>
  <r>
    <x v="19"/>
    <x v="19"/>
    <x v="3"/>
    <x v="0"/>
    <x v="0"/>
    <x v="0"/>
    <x v="19"/>
    <x v="1"/>
    <x v="19"/>
    <x v="15"/>
    <x v="19"/>
    <x v="2"/>
  </r>
  <r>
    <x v="20"/>
    <x v="20"/>
    <x v="3"/>
    <x v="4"/>
    <x v="0"/>
    <x v="7"/>
    <x v="20"/>
    <x v="3"/>
    <x v="20"/>
    <x v="12"/>
    <x v="20"/>
    <x v="1"/>
  </r>
  <r>
    <x v="21"/>
    <x v="21"/>
    <x v="1"/>
    <x v="0"/>
    <x v="3"/>
    <x v="10"/>
    <x v="21"/>
    <x v="4"/>
    <x v="21"/>
    <x v="7"/>
    <x v="21"/>
    <x v="2"/>
  </r>
  <r>
    <x v="22"/>
    <x v="22"/>
    <x v="2"/>
    <x v="4"/>
    <x v="3"/>
    <x v="9"/>
    <x v="22"/>
    <x v="10"/>
    <x v="22"/>
    <x v="8"/>
    <x v="22"/>
    <x v="3"/>
  </r>
  <r>
    <x v="23"/>
    <x v="23"/>
    <x v="1"/>
    <x v="3"/>
    <x v="3"/>
    <x v="15"/>
    <x v="23"/>
    <x v="11"/>
    <x v="23"/>
    <x v="8"/>
    <x v="23"/>
    <x v="2"/>
  </r>
  <r>
    <x v="24"/>
    <x v="24"/>
    <x v="2"/>
    <x v="1"/>
    <x v="1"/>
    <x v="16"/>
    <x v="24"/>
    <x v="6"/>
    <x v="24"/>
    <x v="6"/>
    <x v="24"/>
    <x v="2"/>
  </r>
  <r>
    <x v="25"/>
    <x v="25"/>
    <x v="0"/>
    <x v="4"/>
    <x v="1"/>
    <x v="16"/>
    <x v="25"/>
    <x v="11"/>
    <x v="25"/>
    <x v="16"/>
    <x v="25"/>
    <x v="2"/>
  </r>
  <r>
    <x v="26"/>
    <x v="26"/>
    <x v="2"/>
    <x v="0"/>
    <x v="2"/>
    <x v="17"/>
    <x v="26"/>
    <x v="7"/>
    <x v="26"/>
    <x v="7"/>
    <x v="26"/>
    <x v="1"/>
  </r>
  <r>
    <x v="27"/>
    <x v="27"/>
    <x v="1"/>
    <x v="4"/>
    <x v="1"/>
    <x v="5"/>
    <x v="27"/>
    <x v="9"/>
    <x v="27"/>
    <x v="5"/>
    <x v="27"/>
    <x v="1"/>
  </r>
  <r>
    <x v="28"/>
    <x v="28"/>
    <x v="2"/>
    <x v="0"/>
    <x v="2"/>
    <x v="8"/>
    <x v="28"/>
    <x v="0"/>
    <x v="28"/>
    <x v="2"/>
    <x v="28"/>
    <x v="2"/>
  </r>
  <r>
    <x v="29"/>
    <x v="29"/>
    <x v="1"/>
    <x v="0"/>
    <x v="1"/>
    <x v="3"/>
    <x v="29"/>
    <x v="10"/>
    <x v="29"/>
    <x v="13"/>
    <x v="29"/>
    <x v="0"/>
  </r>
  <r>
    <x v="30"/>
    <x v="30"/>
    <x v="2"/>
    <x v="1"/>
    <x v="0"/>
    <x v="13"/>
    <x v="30"/>
    <x v="4"/>
    <x v="30"/>
    <x v="3"/>
    <x v="30"/>
    <x v="2"/>
  </r>
  <r>
    <x v="31"/>
    <x v="31"/>
    <x v="2"/>
    <x v="1"/>
    <x v="0"/>
    <x v="7"/>
    <x v="31"/>
    <x v="1"/>
    <x v="31"/>
    <x v="6"/>
    <x v="31"/>
    <x v="1"/>
  </r>
  <r>
    <x v="32"/>
    <x v="32"/>
    <x v="1"/>
    <x v="4"/>
    <x v="2"/>
    <x v="6"/>
    <x v="32"/>
    <x v="0"/>
    <x v="32"/>
    <x v="1"/>
    <x v="32"/>
    <x v="0"/>
  </r>
  <r>
    <x v="33"/>
    <x v="33"/>
    <x v="2"/>
    <x v="0"/>
    <x v="3"/>
    <x v="9"/>
    <x v="33"/>
    <x v="5"/>
    <x v="33"/>
    <x v="4"/>
    <x v="33"/>
    <x v="1"/>
  </r>
  <r>
    <x v="34"/>
    <x v="34"/>
    <x v="2"/>
    <x v="4"/>
    <x v="0"/>
    <x v="18"/>
    <x v="34"/>
    <x v="7"/>
    <x v="34"/>
    <x v="17"/>
    <x v="34"/>
    <x v="0"/>
  </r>
  <r>
    <x v="35"/>
    <x v="35"/>
    <x v="1"/>
    <x v="4"/>
    <x v="3"/>
    <x v="12"/>
    <x v="35"/>
    <x v="9"/>
    <x v="35"/>
    <x v="18"/>
    <x v="35"/>
    <x v="1"/>
  </r>
  <r>
    <x v="36"/>
    <x v="36"/>
    <x v="3"/>
    <x v="1"/>
    <x v="0"/>
    <x v="0"/>
    <x v="36"/>
    <x v="8"/>
    <x v="36"/>
    <x v="19"/>
    <x v="36"/>
    <x v="0"/>
  </r>
  <r>
    <x v="37"/>
    <x v="37"/>
    <x v="1"/>
    <x v="1"/>
    <x v="1"/>
    <x v="5"/>
    <x v="37"/>
    <x v="6"/>
    <x v="37"/>
    <x v="0"/>
    <x v="37"/>
    <x v="0"/>
  </r>
  <r>
    <x v="31"/>
    <x v="38"/>
    <x v="3"/>
    <x v="1"/>
    <x v="2"/>
    <x v="6"/>
    <x v="38"/>
    <x v="0"/>
    <x v="38"/>
    <x v="20"/>
    <x v="38"/>
    <x v="2"/>
  </r>
  <r>
    <x v="38"/>
    <x v="39"/>
    <x v="2"/>
    <x v="0"/>
    <x v="1"/>
    <x v="3"/>
    <x v="39"/>
    <x v="4"/>
    <x v="39"/>
    <x v="15"/>
    <x v="39"/>
    <x v="0"/>
  </r>
  <r>
    <x v="39"/>
    <x v="40"/>
    <x v="2"/>
    <x v="1"/>
    <x v="3"/>
    <x v="10"/>
    <x v="40"/>
    <x v="5"/>
    <x v="40"/>
    <x v="17"/>
    <x v="40"/>
    <x v="1"/>
  </r>
  <r>
    <x v="40"/>
    <x v="41"/>
    <x v="1"/>
    <x v="0"/>
    <x v="3"/>
    <x v="9"/>
    <x v="41"/>
    <x v="2"/>
    <x v="41"/>
    <x v="19"/>
    <x v="41"/>
    <x v="3"/>
  </r>
  <r>
    <x v="41"/>
    <x v="42"/>
    <x v="0"/>
    <x v="1"/>
    <x v="0"/>
    <x v="13"/>
    <x v="42"/>
    <x v="1"/>
    <x v="42"/>
    <x v="7"/>
    <x v="42"/>
    <x v="2"/>
  </r>
  <r>
    <x v="42"/>
    <x v="43"/>
    <x v="0"/>
    <x v="0"/>
    <x v="0"/>
    <x v="0"/>
    <x v="43"/>
    <x v="0"/>
    <x v="43"/>
    <x v="8"/>
    <x v="43"/>
    <x v="0"/>
  </r>
  <r>
    <x v="43"/>
    <x v="44"/>
    <x v="0"/>
    <x v="2"/>
    <x v="0"/>
    <x v="0"/>
    <x v="44"/>
    <x v="0"/>
    <x v="44"/>
    <x v="21"/>
    <x v="44"/>
    <x v="3"/>
  </r>
  <r>
    <x v="44"/>
    <x v="45"/>
    <x v="3"/>
    <x v="3"/>
    <x v="3"/>
    <x v="12"/>
    <x v="45"/>
    <x v="11"/>
    <x v="45"/>
    <x v="8"/>
    <x v="45"/>
    <x v="2"/>
  </r>
  <r>
    <x v="45"/>
    <x v="46"/>
    <x v="1"/>
    <x v="1"/>
    <x v="3"/>
    <x v="10"/>
    <x v="46"/>
    <x v="3"/>
    <x v="46"/>
    <x v="19"/>
    <x v="46"/>
    <x v="0"/>
  </r>
  <r>
    <x v="26"/>
    <x v="47"/>
    <x v="1"/>
    <x v="3"/>
    <x v="3"/>
    <x v="14"/>
    <x v="47"/>
    <x v="12"/>
    <x v="47"/>
    <x v="18"/>
    <x v="47"/>
    <x v="0"/>
  </r>
  <r>
    <x v="46"/>
    <x v="48"/>
    <x v="3"/>
    <x v="4"/>
    <x v="0"/>
    <x v="19"/>
    <x v="48"/>
    <x v="8"/>
    <x v="48"/>
    <x v="3"/>
    <x v="48"/>
    <x v="0"/>
  </r>
  <r>
    <x v="47"/>
    <x v="49"/>
    <x v="2"/>
    <x v="1"/>
    <x v="1"/>
    <x v="3"/>
    <x v="49"/>
    <x v="9"/>
    <x v="49"/>
    <x v="7"/>
    <x v="49"/>
    <x v="2"/>
  </r>
  <r>
    <x v="48"/>
    <x v="50"/>
    <x v="1"/>
    <x v="4"/>
    <x v="3"/>
    <x v="9"/>
    <x v="50"/>
    <x v="13"/>
    <x v="50"/>
    <x v="16"/>
    <x v="50"/>
    <x v="2"/>
  </r>
  <r>
    <x v="21"/>
    <x v="51"/>
    <x v="2"/>
    <x v="2"/>
    <x v="2"/>
    <x v="17"/>
    <x v="51"/>
    <x v="10"/>
    <x v="51"/>
    <x v="22"/>
    <x v="51"/>
    <x v="3"/>
  </r>
  <r>
    <x v="49"/>
    <x v="52"/>
    <x v="1"/>
    <x v="3"/>
    <x v="0"/>
    <x v="0"/>
    <x v="52"/>
    <x v="3"/>
    <x v="52"/>
    <x v="20"/>
    <x v="52"/>
    <x v="2"/>
  </r>
  <r>
    <x v="50"/>
    <x v="53"/>
    <x v="2"/>
    <x v="2"/>
    <x v="3"/>
    <x v="15"/>
    <x v="53"/>
    <x v="12"/>
    <x v="53"/>
    <x v="2"/>
    <x v="53"/>
    <x v="3"/>
  </r>
  <r>
    <x v="51"/>
    <x v="54"/>
    <x v="1"/>
    <x v="4"/>
    <x v="0"/>
    <x v="18"/>
    <x v="54"/>
    <x v="1"/>
    <x v="54"/>
    <x v="8"/>
    <x v="54"/>
    <x v="3"/>
  </r>
  <r>
    <x v="52"/>
    <x v="55"/>
    <x v="1"/>
    <x v="1"/>
    <x v="0"/>
    <x v="19"/>
    <x v="55"/>
    <x v="7"/>
    <x v="55"/>
    <x v="8"/>
    <x v="55"/>
    <x v="1"/>
  </r>
  <r>
    <x v="16"/>
    <x v="56"/>
    <x v="1"/>
    <x v="1"/>
    <x v="1"/>
    <x v="16"/>
    <x v="56"/>
    <x v="14"/>
    <x v="56"/>
    <x v="23"/>
    <x v="56"/>
    <x v="3"/>
  </r>
  <r>
    <x v="53"/>
    <x v="57"/>
    <x v="0"/>
    <x v="2"/>
    <x v="2"/>
    <x v="4"/>
    <x v="57"/>
    <x v="8"/>
    <x v="57"/>
    <x v="10"/>
    <x v="57"/>
    <x v="1"/>
  </r>
  <r>
    <x v="54"/>
    <x v="58"/>
    <x v="1"/>
    <x v="0"/>
    <x v="1"/>
    <x v="5"/>
    <x v="58"/>
    <x v="3"/>
    <x v="58"/>
    <x v="8"/>
    <x v="58"/>
    <x v="0"/>
  </r>
  <r>
    <x v="55"/>
    <x v="59"/>
    <x v="2"/>
    <x v="1"/>
    <x v="0"/>
    <x v="19"/>
    <x v="59"/>
    <x v="8"/>
    <x v="59"/>
    <x v="12"/>
    <x v="59"/>
    <x v="2"/>
  </r>
  <r>
    <x v="56"/>
    <x v="60"/>
    <x v="1"/>
    <x v="4"/>
    <x v="1"/>
    <x v="5"/>
    <x v="60"/>
    <x v="4"/>
    <x v="60"/>
    <x v="17"/>
    <x v="60"/>
    <x v="1"/>
  </r>
  <r>
    <x v="57"/>
    <x v="61"/>
    <x v="1"/>
    <x v="0"/>
    <x v="2"/>
    <x v="11"/>
    <x v="61"/>
    <x v="7"/>
    <x v="61"/>
    <x v="12"/>
    <x v="61"/>
    <x v="3"/>
  </r>
  <r>
    <x v="58"/>
    <x v="62"/>
    <x v="2"/>
    <x v="3"/>
    <x v="3"/>
    <x v="15"/>
    <x v="62"/>
    <x v="1"/>
    <x v="62"/>
    <x v="15"/>
    <x v="62"/>
    <x v="1"/>
  </r>
  <r>
    <x v="59"/>
    <x v="63"/>
    <x v="0"/>
    <x v="0"/>
    <x v="1"/>
    <x v="1"/>
    <x v="63"/>
    <x v="6"/>
    <x v="63"/>
    <x v="4"/>
    <x v="63"/>
    <x v="3"/>
  </r>
  <r>
    <x v="60"/>
    <x v="64"/>
    <x v="0"/>
    <x v="4"/>
    <x v="3"/>
    <x v="12"/>
    <x v="64"/>
    <x v="14"/>
    <x v="64"/>
    <x v="9"/>
    <x v="64"/>
    <x v="2"/>
  </r>
  <r>
    <x v="61"/>
    <x v="65"/>
    <x v="2"/>
    <x v="1"/>
    <x v="1"/>
    <x v="2"/>
    <x v="65"/>
    <x v="13"/>
    <x v="65"/>
    <x v="24"/>
    <x v="65"/>
    <x v="2"/>
  </r>
  <r>
    <x v="62"/>
    <x v="66"/>
    <x v="2"/>
    <x v="1"/>
    <x v="2"/>
    <x v="6"/>
    <x v="66"/>
    <x v="0"/>
    <x v="66"/>
    <x v="18"/>
    <x v="66"/>
    <x v="2"/>
  </r>
  <r>
    <x v="63"/>
    <x v="67"/>
    <x v="3"/>
    <x v="3"/>
    <x v="2"/>
    <x v="8"/>
    <x v="67"/>
    <x v="10"/>
    <x v="67"/>
    <x v="25"/>
    <x v="67"/>
    <x v="1"/>
  </r>
  <r>
    <x v="64"/>
    <x v="68"/>
    <x v="2"/>
    <x v="1"/>
    <x v="0"/>
    <x v="7"/>
    <x v="68"/>
    <x v="12"/>
    <x v="68"/>
    <x v="0"/>
    <x v="68"/>
    <x v="0"/>
  </r>
  <r>
    <x v="65"/>
    <x v="69"/>
    <x v="3"/>
    <x v="4"/>
    <x v="0"/>
    <x v="13"/>
    <x v="69"/>
    <x v="8"/>
    <x v="69"/>
    <x v="26"/>
    <x v="69"/>
    <x v="0"/>
  </r>
  <r>
    <x v="66"/>
    <x v="70"/>
    <x v="3"/>
    <x v="3"/>
    <x v="3"/>
    <x v="9"/>
    <x v="70"/>
    <x v="11"/>
    <x v="70"/>
    <x v="8"/>
    <x v="70"/>
    <x v="3"/>
  </r>
  <r>
    <x v="67"/>
    <x v="71"/>
    <x v="3"/>
    <x v="4"/>
    <x v="0"/>
    <x v="7"/>
    <x v="71"/>
    <x v="2"/>
    <x v="71"/>
    <x v="14"/>
    <x v="71"/>
    <x v="2"/>
  </r>
  <r>
    <x v="68"/>
    <x v="72"/>
    <x v="2"/>
    <x v="2"/>
    <x v="0"/>
    <x v="18"/>
    <x v="72"/>
    <x v="13"/>
    <x v="72"/>
    <x v="23"/>
    <x v="72"/>
    <x v="3"/>
  </r>
  <r>
    <x v="69"/>
    <x v="73"/>
    <x v="3"/>
    <x v="2"/>
    <x v="3"/>
    <x v="9"/>
    <x v="73"/>
    <x v="4"/>
    <x v="73"/>
    <x v="27"/>
    <x v="73"/>
    <x v="1"/>
  </r>
  <r>
    <x v="70"/>
    <x v="74"/>
    <x v="2"/>
    <x v="2"/>
    <x v="3"/>
    <x v="14"/>
    <x v="74"/>
    <x v="0"/>
    <x v="74"/>
    <x v="26"/>
    <x v="74"/>
    <x v="3"/>
  </r>
  <r>
    <x v="71"/>
    <x v="75"/>
    <x v="0"/>
    <x v="4"/>
    <x v="3"/>
    <x v="9"/>
    <x v="75"/>
    <x v="2"/>
    <x v="75"/>
    <x v="5"/>
    <x v="75"/>
    <x v="0"/>
  </r>
  <r>
    <x v="72"/>
    <x v="76"/>
    <x v="3"/>
    <x v="1"/>
    <x v="3"/>
    <x v="15"/>
    <x v="76"/>
    <x v="4"/>
    <x v="76"/>
    <x v="19"/>
    <x v="76"/>
    <x v="3"/>
  </r>
  <r>
    <x v="73"/>
    <x v="77"/>
    <x v="1"/>
    <x v="4"/>
    <x v="1"/>
    <x v="1"/>
    <x v="77"/>
    <x v="1"/>
    <x v="77"/>
    <x v="12"/>
    <x v="77"/>
    <x v="0"/>
  </r>
  <r>
    <x v="74"/>
    <x v="78"/>
    <x v="3"/>
    <x v="3"/>
    <x v="0"/>
    <x v="18"/>
    <x v="78"/>
    <x v="10"/>
    <x v="78"/>
    <x v="18"/>
    <x v="78"/>
    <x v="1"/>
  </r>
  <r>
    <x v="63"/>
    <x v="79"/>
    <x v="2"/>
    <x v="2"/>
    <x v="1"/>
    <x v="2"/>
    <x v="79"/>
    <x v="2"/>
    <x v="79"/>
    <x v="10"/>
    <x v="79"/>
    <x v="3"/>
  </r>
  <r>
    <x v="75"/>
    <x v="80"/>
    <x v="3"/>
    <x v="1"/>
    <x v="1"/>
    <x v="2"/>
    <x v="80"/>
    <x v="14"/>
    <x v="80"/>
    <x v="6"/>
    <x v="80"/>
    <x v="3"/>
  </r>
  <r>
    <x v="76"/>
    <x v="81"/>
    <x v="2"/>
    <x v="0"/>
    <x v="1"/>
    <x v="16"/>
    <x v="81"/>
    <x v="5"/>
    <x v="81"/>
    <x v="13"/>
    <x v="81"/>
    <x v="0"/>
  </r>
  <r>
    <x v="77"/>
    <x v="82"/>
    <x v="3"/>
    <x v="1"/>
    <x v="2"/>
    <x v="4"/>
    <x v="82"/>
    <x v="4"/>
    <x v="82"/>
    <x v="7"/>
    <x v="82"/>
    <x v="2"/>
  </r>
  <r>
    <x v="78"/>
    <x v="83"/>
    <x v="2"/>
    <x v="3"/>
    <x v="1"/>
    <x v="16"/>
    <x v="83"/>
    <x v="11"/>
    <x v="83"/>
    <x v="17"/>
    <x v="83"/>
    <x v="1"/>
  </r>
  <r>
    <x v="79"/>
    <x v="84"/>
    <x v="1"/>
    <x v="4"/>
    <x v="3"/>
    <x v="9"/>
    <x v="84"/>
    <x v="5"/>
    <x v="84"/>
    <x v="5"/>
    <x v="84"/>
    <x v="3"/>
  </r>
  <r>
    <x v="80"/>
    <x v="85"/>
    <x v="2"/>
    <x v="3"/>
    <x v="0"/>
    <x v="19"/>
    <x v="85"/>
    <x v="13"/>
    <x v="85"/>
    <x v="28"/>
    <x v="85"/>
    <x v="0"/>
  </r>
  <r>
    <x v="81"/>
    <x v="86"/>
    <x v="1"/>
    <x v="3"/>
    <x v="0"/>
    <x v="7"/>
    <x v="86"/>
    <x v="8"/>
    <x v="86"/>
    <x v="29"/>
    <x v="86"/>
    <x v="1"/>
  </r>
  <r>
    <x v="82"/>
    <x v="87"/>
    <x v="1"/>
    <x v="0"/>
    <x v="3"/>
    <x v="15"/>
    <x v="87"/>
    <x v="13"/>
    <x v="87"/>
    <x v="6"/>
    <x v="87"/>
    <x v="3"/>
  </r>
  <r>
    <x v="83"/>
    <x v="88"/>
    <x v="1"/>
    <x v="3"/>
    <x v="2"/>
    <x v="6"/>
    <x v="88"/>
    <x v="14"/>
    <x v="88"/>
    <x v="18"/>
    <x v="88"/>
    <x v="1"/>
  </r>
  <r>
    <x v="84"/>
    <x v="89"/>
    <x v="1"/>
    <x v="2"/>
    <x v="1"/>
    <x v="3"/>
    <x v="89"/>
    <x v="8"/>
    <x v="89"/>
    <x v="27"/>
    <x v="89"/>
    <x v="2"/>
  </r>
  <r>
    <x v="85"/>
    <x v="90"/>
    <x v="2"/>
    <x v="2"/>
    <x v="3"/>
    <x v="14"/>
    <x v="90"/>
    <x v="12"/>
    <x v="90"/>
    <x v="15"/>
    <x v="90"/>
    <x v="0"/>
  </r>
  <r>
    <x v="86"/>
    <x v="91"/>
    <x v="1"/>
    <x v="1"/>
    <x v="3"/>
    <x v="14"/>
    <x v="91"/>
    <x v="5"/>
    <x v="91"/>
    <x v="2"/>
    <x v="91"/>
    <x v="3"/>
  </r>
  <r>
    <x v="87"/>
    <x v="92"/>
    <x v="3"/>
    <x v="3"/>
    <x v="1"/>
    <x v="1"/>
    <x v="92"/>
    <x v="8"/>
    <x v="92"/>
    <x v="6"/>
    <x v="92"/>
    <x v="2"/>
  </r>
  <r>
    <x v="88"/>
    <x v="93"/>
    <x v="2"/>
    <x v="2"/>
    <x v="1"/>
    <x v="5"/>
    <x v="93"/>
    <x v="12"/>
    <x v="93"/>
    <x v="7"/>
    <x v="93"/>
    <x v="3"/>
  </r>
  <r>
    <x v="89"/>
    <x v="94"/>
    <x v="0"/>
    <x v="2"/>
    <x v="0"/>
    <x v="0"/>
    <x v="94"/>
    <x v="10"/>
    <x v="94"/>
    <x v="28"/>
    <x v="94"/>
    <x v="3"/>
  </r>
  <r>
    <x v="90"/>
    <x v="95"/>
    <x v="2"/>
    <x v="4"/>
    <x v="1"/>
    <x v="2"/>
    <x v="95"/>
    <x v="5"/>
    <x v="95"/>
    <x v="16"/>
    <x v="95"/>
    <x v="3"/>
  </r>
  <r>
    <x v="91"/>
    <x v="96"/>
    <x v="0"/>
    <x v="4"/>
    <x v="2"/>
    <x v="11"/>
    <x v="96"/>
    <x v="10"/>
    <x v="96"/>
    <x v="16"/>
    <x v="96"/>
    <x v="3"/>
  </r>
  <r>
    <x v="92"/>
    <x v="97"/>
    <x v="2"/>
    <x v="2"/>
    <x v="3"/>
    <x v="14"/>
    <x v="97"/>
    <x v="0"/>
    <x v="97"/>
    <x v="19"/>
    <x v="97"/>
    <x v="2"/>
  </r>
  <r>
    <x v="28"/>
    <x v="98"/>
    <x v="2"/>
    <x v="0"/>
    <x v="2"/>
    <x v="6"/>
    <x v="98"/>
    <x v="4"/>
    <x v="98"/>
    <x v="1"/>
    <x v="98"/>
    <x v="1"/>
  </r>
  <r>
    <x v="93"/>
    <x v="99"/>
    <x v="0"/>
    <x v="2"/>
    <x v="2"/>
    <x v="6"/>
    <x v="99"/>
    <x v="10"/>
    <x v="99"/>
    <x v="11"/>
    <x v="99"/>
    <x v="3"/>
  </r>
  <r>
    <x v="94"/>
    <x v="100"/>
    <x v="3"/>
    <x v="1"/>
    <x v="1"/>
    <x v="2"/>
    <x v="100"/>
    <x v="12"/>
    <x v="100"/>
    <x v="22"/>
    <x v="100"/>
    <x v="3"/>
  </r>
  <r>
    <x v="95"/>
    <x v="101"/>
    <x v="3"/>
    <x v="3"/>
    <x v="1"/>
    <x v="5"/>
    <x v="101"/>
    <x v="2"/>
    <x v="101"/>
    <x v="21"/>
    <x v="101"/>
    <x v="2"/>
  </r>
  <r>
    <x v="96"/>
    <x v="102"/>
    <x v="1"/>
    <x v="4"/>
    <x v="2"/>
    <x v="6"/>
    <x v="102"/>
    <x v="14"/>
    <x v="102"/>
    <x v="0"/>
    <x v="102"/>
    <x v="3"/>
  </r>
  <r>
    <x v="97"/>
    <x v="103"/>
    <x v="1"/>
    <x v="3"/>
    <x v="1"/>
    <x v="3"/>
    <x v="103"/>
    <x v="11"/>
    <x v="103"/>
    <x v="8"/>
    <x v="103"/>
    <x v="1"/>
  </r>
  <r>
    <x v="98"/>
    <x v="104"/>
    <x v="1"/>
    <x v="1"/>
    <x v="0"/>
    <x v="19"/>
    <x v="104"/>
    <x v="3"/>
    <x v="104"/>
    <x v="15"/>
    <x v="104"/>
    <x v="1"/>
  </r>
  <r>
    <x v="99"/>
    <x v="105"/>
    <x v="0"/>
    <x v="4"/>
    <x v="0"/>
    <x v="0"/>
    <x v="105"/>
    <x v="2"/>
    <x v="105"/>
    <x v="29"/>
    <x v="105"/>
    <x v="0"/>
  </r>
  <r>
    <x v="100"/>
    <x v="106"/>
    <x v="0"/>
    <x v="1"/>
    <x v="2"/>
    <x v="11"/>
    <x v="106"/>
    <x v="8"/>
    <x v="78"/>
    <x v="10"/>
    <x v="106"/>
    <x v="0"/>
  </r>
  <r>
    <x v="83"/>
    <x v="107"/>
    <x v="3"/>
    <x v="1"/>
    <x v="2"/>
    <x v="11"/>
    <x v="107"/>
    <x v="1"/>
    <x v="106"/>
    <x v="4"/>
    <x v="107"/>
    <x v="3"/>
  </r>
  <r>
    <x v="101"/>
    <x v="108"/>
    <x v="0"/>
    <x v="1"/>
    <x v="3"/>
    <x v="15"/>
    <x v="108"/>
    <x v="12"/>
    <x v="107"/>
    <x v="18"/>
    <x v="108"/>
    <x v="1"/>
  </r>
  <r>
    <x v="102"/>
    <x v="109"/>
    <x v="1"/>
    <x v="3"/>
    <x v="1"/>
    <x v="1"/>
    <x v="109"/>
    <x v="14"/>
    <x v="108"/>
    <x v="8"/>
    <x v="109"/>
    <x v="3"/>
  </r>
  <r>
    <x v="103"/>
    <x v="110"/>
    <x v="1"/>
    <x v="1"/>
    <x v="2"/>
    <x v="11"/>
    <x v="110"/>
    <x v="6"/>
    <x v="109"/>
    <x v="27"/>
    <x v="110"/>
    <x v="3"/>
  </r>
  <r>
    <x v="104"/>
    <x v="111"/>
    <x v="0"/>
    <x v="2"/>
    <x v="3"/>
    <x v="12"/>
    <x v="111"/>
    <x v="1"/>
    <x v="110"/>
    <x v="12"/>
    <x v="111"/>
    <x v="1"/>
  </r>
  <r>
    <x v="105"/>
    <x v="112"/>
    <x v="2"/>
    <x v="1"/>
    <x v="1"/>
    <x v="3"/>
    <x v="112"/>
    <x v="4"/>
    <x v="111"/>
    <x v="16"/>
    <x v="112"/>
    <x v="3"/>
  </r>
  <r>
    <x v="106"/>
    <x v="113"/>
    <x v="2"/>
    <x v="0"/>
    <x v="3"/>
    <x v="9"/>
    <x v="113"/>
    <x v="6"/>
    <x v="112"/>
    <x v="14"/>
    <x v="113"/>
    <x v="3"/>
  </r>
  <r>
    <x v="107"/>
    <x v="114"/>
    <x v="0"/>
    <x v="0"/>
    <x v="0"/>
    <x v="7"/>
    <x v="114"/>
    <x v="0"/>
    <x v="113"/>
    <x v="8"/>
    <x v="114"/>
    <x v="3"/>
  </r>
  <r>
    <x v="108"/>
    <x v="115"/>
    <x v="0"/>
    <x v="3"/>
    <x v="1"/>
    <x v="2"/>
    <x v="115"/>
    <x v="3"/>
    <x v="114"/>
    <x v="28"/>
    <x v="115"/>
    <x v="0"/>
  </r>
  <r>
    <x v="0"/>
    <x v="116"/>
    <x v="0"/>
    <x v="2"/>
    <x v="1"/>
    <x v="5"/>
    <x v="116"/>
    <x v="13"/>
    <x v="115"/>
    <x v="17"/>
    <x v="116"/>
    <x v="3"/>
  </r>
  <r>
    <x v="109"/>
    <x v="117"/>
    <x v="3"/>
    <x v="3"/>
    <x v="3"/>
    <x v="10"/>
    <x v="42"/>
    <x v="10"/>
    <x v="116"/>
    <x v="21"/>
    <x v="117"/>
    <x v="0"/>
  </r>
  <r>
    <x v="110"/>
    <x v="118"/>
    <x v="2"/>
    <x v="2"/>
    <x v="1"/>
    <x v="5"/>
    <x v="117"/>
    <x v="3"/>
    <x v="117"/>
    <x v="17"/>
    <x v="118"/>
    <x v="3"/>
  </r>
  <r>
    <x v="111"/>
    <x v="119"/>
    <x v="2"/>
    <x v="4"/>
    <x v="1"/>
    <x v="2"/>
    <x v="118"/>
    <x v="5"/>
    <x v="118"/>
    <x v="23"/>
    <x v="1"/>
    <x v="0"/>
  </r>
  <r>
    <x v="112"/>
    <x v="120"/>
    <x v="0"/>
    <x v="0"/>
    <x v="0"/>
    <x v="7"/>
    <x v="119"/>
    <x v="0"/>
    <x v="119"/>
    <x v="6"/>
    <x v="119"/>
    <x v="1"/>
  </r>
  <r>
    <x v="113"/>
    <x v="121"/>
    <x v="0"/>
    <x v="2"/>
    <x v="0"/>
    <x v="13"/>
    <x v="120"/>
    <x v="2"/>
    <x v="120"/>
    <x v="21"/>
    <x v="120"/>
    <x v="3"/>
  </r>
  <r>
    <x v="114"/>
    <x v="122"/>
    <x v="1"/>
    <x v="3"/>
    <x v="0"/>
    <x v="18"/>
    <x v="121"/>
    <x v="10"/>
    <x v="121"/>
    <x v="8"/>
    <x v="121"/>
    <x v="3"/>
  </r>
  <r>
    <x v="46"/>
    <x v="123"/>
    <x v="2"/>
    <x v="0"/>
    <x v="0"/>
    <x v="19"/>
    <x v="122"/>
    <x v="7"/>
    <x v="122"/>
    <x v="7"/>
    <x v="122"/>
    <x v="0"/>
  </r>
  <r>
    <x v="115"/>
    <x v="124"/>
    <x v="3"/>
    <x v="4"/>
    <x v="3"/>
    <x v="14"/>
    <x v="123"/>
    <x v="2"/>
    <x v="123"/>
    <x v="0"/>
    <x v="123"/>
    <x v="1"/>
  </r>
  <r>
    <x v="116"/>
    <x v="125"/>
    <x v="2"/>
    <x v="3"/>
    <x v="3"/>
    <x v="10"/>
    <x v="124"/>
    <x v="13"/>
    <x v="124"/>
    <x v="8"/>
    <x v="124"/>
    <x v="2"/>
  </r>
  <r>
    <x v="34"/>
    <x v="126"/>
    <x v="0"/>
    <x v="3"/>
    <x v="0"/>
    <x v="18"/>
    <x v="125"/>
    <x v="14"/>
    <x v="125"/>
    <x v="23"/>
    <x v="125"/>
    <x v="1"/>
  </r>
  <r>
    <x v="32"/>
    <x v="127"/>
    <x v="2"/>
    <x v="1"/>
    <x v="0"/>
    <x v="18"/>
    <x v="126"/>
    <x v="7"/>
    <x v="126"/>
    <x v="5"/>
    <x v="126"/>
    <x v="0"/>
  </r>
  <r>
    <x v="54"/>
    <x v="128"/>
    <x v="3"/>
    <x v="4"/>
    <x v="1"/>
    <x v="16"/>
    <x v="127"/>
    <x v="2"/>
    <x v="127"/>
    <x v="6"/>
    <x v="127"/>
    <x v="2"/>
  </r>
  <r>
    <x v="5"/>
    <x v="129"/>
    <x v="1"/>
    <x v="2"/>
    <x v="0"/>
    <x v="19"/>
    <x v="128"/>
    <x v="1"/>
    <x v="128"/>
    <x v="7"/>
    <x v="128"/>
    <x v="1"/>
  </r>
  <r>
    <x v="52"/>
    <x v="130"/>
    <x v="3"/>
    <x v="0"/>
    <x v="0"/>
    <x v="18"/>
    <x v="129"/>
    <x v="3"/>
    <x v="129"/>
    <x v="8"/>
    <x v="129"/>
    <x v="3"/>
  </r>
  <r>
    <x v="117"/>
    <x v="131"/>
    <x v="3"/>
    <x v="1"/>
    <x v="3"/>
    <x v="12"/>
    <x v="130"/>
    <x v="0"/>
    <x v="130"/>
    <x v="3"/>
    <x v="130"/>
    <x v="0"/>
  </r>
  <r>
    <x v="40"/>
    <x v="132"/>
    <x v="3"/>
    <x v="3"/>
    <x v="1"/>
    <x v="2"/>
    <x v="131"/>
    <x v="10"/>
    <x v="131"/>
    <x v="0"/>
    <x v="131"/>
    <x v="1"/>
  </r>
  <r>
    <x v="118"/>
    <x v="133"/>
    <x v="3"/>
    <x v="0"/>
    <x v="3"/>
    <x v="12"/>
    <x v="132"/>
    <x v="10"/>
    <x v="132"/>
    <x v="18"/>
    <x v="132"/>
    <x v="0"/>
  </r>
  <r>
    <x v="59"/>
    <x v="134"/>
    <x v="3"/>
    <x v="0"/>
    <x v="3"/>
    <x v="10"/>
    <x v="133"/>
    <x v="10"/>
    <x v="133"/>
    <x v="19"/>
    <x v="133"/>
    <x v="0"/>
  </r>
  <r>
    <x v="119"/>
    <x v="135"/>
    <x v="1"/>
    <x v="3"/>
    <x v="2"/>
    <x v="17"/>
    <x v="134"/>
    <x v="8"/>
    <x v="134"/>
    <x v="19"/>
    <x v="134"/>
    <x v="2"/>
  </r>
  <r>
    <x v="26"/>
    <x v="136"/>
    <x v="2"/>
    <x v="0"/>
    <x v="0"/>
    <x v="19"/>
    <x v="135"/>
    <x v="9"/>
    <x v="135"/>
    <x v="3"/>
    <x v="135"/>
    <x v="3"/>
  </r>
  <r>
    <x v="120"/>
    <x v="137"/>
    <x v="3"/>
    <x v="0"/>
    <x v="1"/>
    <x v="1"/>
    <x v="136"/>
    <x v="2"/>
    <x v="136"/>
    <x v="7"/>
    <x v="136"/>
    <x v="2"/>
  </r>
  <r>
    <x v="105"/>
    <x v="138"/>
    <x v="1"/>
    <x v="4"/>
    <x v="3"/>
    <x v="9"/>
    <x v="137"/>
    <x v="11"/>
    <x v="137"/>
    <x v="8"/>
    <x v="137"/>
    <x v="0"/>
  </r>
  <r>
    <x v="121"/>
    <x v="139"/>
    <x v="1"/>
    <x v="4"/>
    <x v="2"/>
    <x v="17"/>
    <x v="138"/>
    <x v="4"/>
    <x v="138"/>
    <x v="18"/>
    <x v="138"/>
    <x v="2"/>
  </r>
  <r>
    <x v="103"/>
    <x v="140"/>
    <x v="1"/>
    <x v="1"/>
    <x v="1"/>
    <x v="16"/>
    <x v="139"/>
    <x v="14"/>
    <x v="139"/>
    <x v="30"/>
    <x v="139"/>
    <x v="0"/>
  </r>
  <r>
    <x v="66"/>
    <x v="141"/>
    <x v="1"/>
    <x v="3"/>
    <x v="1"/>
    <x v="16"/>
    <x v="140"/>
    <x v="13"/>
    <x v="140"/>
    <x v="0"/>
    <x v="140"/>
    <x v="3"/>
  </r>
  <r>
    <x v="36"/>
    <x v="142"/>
    <x v="3"/>
    <x v="0"/>
    <x v="2"/>
    <x v="17"/>
    <x v="141"/>
    <x v="0"/>
    <x v="141"/>
    <x v="8"/>
    <x v="141"/>
    <x v="3"/>
  </r>
  <r>
    <x v="122"/>
    <x v="143"/>
    <x v="0"/>
    <x v="4"/>
    <x v="3"/>
    <x v="14"/>
    <x v="142"/>
    <x v="7"/>
    <x v="142"/>
    <x v="11"/>
    <x v="142"/>
    <x v="0"/>
  </r>
  <r>
    <x v="72"/>
    <x v="144"/>
    <x v="1"/>
    <x v="1"/>
    <x v="2"/>
    <x v="8"/>
    <x v="143"/>
    <x v="6"/>
    <x v="143"/>
    <x v="17"/>
    <x v="143"/>
    <x v="2"/>
  </r>
  <r>
    <x v="35"/>
    <x v="145"/>
    <x v="2"/>
    <x v="0"/>
    <x v="2"/>
    <x v="6"/>
    <x v="144"/>
    <x v="14"/>
    <x v="144"/>
    <x v="12"/>
    <x v="144"/>
    <x v="0"/>
  </r>
  <r>
    <x v="123"/>
    <x v="146"/>
    <x v="0"/>
    <x v="4"/>
    <x v="2"/>
    <x v="4"/>
    <x v="145"/>
    <x v="8"/>
    <x v="145"/>
    <x v="23"/>
    <x v="145"/>
    <x v="2"/>
  </r>
  <r>
    <x v="124"/>
    <x v="147"/>
    <x v="1"/>
    <x v="1"/>
    <x v="2"/>
    <x v="11"/>
    <x v="146"/>
    <x v="5"/>
    <x v="146"/>
    <x v="4"/>
    <x v="146"/>
    <x v="1"/>
  </r>
  <r>
    <x v="125"/>
    <x v="148"/>
    <x v="1"/>
    <x v="3"/>
    <x v="0"/>
    <x v="19"/>
    <x v="147"/>
    <x v="5"/>
    <x v="147"/>
    <x v="27"/>
    <x v="147"/>
    <x v="2"/>
  </r>
  <r>
    <x v="126"/>
    <x v="149"/>
    <x v="2"/>
    <x v="4"/>
    <x v="0"/>
    <x v="7"/>
    <x v="148"/>
    <x v="3"/>
    <x v="148"/>
    <x v="1"/>
    <x v="148"/>
    <x v="3"/>
  </r>
  <r>
    <x v="127"/>
    <x v="150"/>
    <x v="3"/>
    <x v="4"/>
    <x v="2"/>
    <x v="8"/>
    <x v="149"/>
    <x v="6"/>
    <x v="149"/>
    <x v="17"/>
    <x v="149"/>
    <x v="2"/>
  </r>
  <r>
    <x v="128"/>
    <x v="151"/>
    <x v="1"/>
    <x v="1"/>
    <x v="0"/>
    <x v="18"/>
    <x v="150"/>
    <x v="4"/>
    <x v="150"/>
    <x v="5"/>
    <x v="150"/>
    <x v="2"/>
  </r>
  <r>
    <x v="77"/>
    <x v="152"/>
    <x v="1"/>
    <x v="1"/>
    <x v="3"/>
    <x v="12"/>
    <x v="151"/>
    <x v="13"/>
    <x v="151"/>
    <x v="27"/>
    <x v="151"/>
    <x v="1"/>
  </r>
  <r>
    <x v="129"/>
    <x v="153"/>
    <x v="2"/>
    <x v="2"/>
    <x v="2"/>
    <x v="6"/>
    <x v="152"/>
    <x v="0"/>
    <x v="152"/>
    <x v="11"/>
    <x v="152"/>
    <x v="3"/>
  </r>
  <r>
    <x v="119"/>
    <x v="154"/>
    <x v="3"/>
    <x v="1"/>
    <x v="0"/>
    <x v="0"/>
    <x v="153"/>
    <x v="3"/>
    <x v="153"/>
    <x v="8"/>
    <x v="153"/>
    <x v="0"/>
  </r>
  <r>
    <x v="64"/>
    <x v="155"/>
    <x v="1"/>
    <x v="1"/>
    <x v="0"/>
    <x v="19"/>
    <x v="154"/>
    <x v="8"/>
    <x v="154"/>
    <x v="7"/>
    <x v="154"/>
    <x v="1"/>
  </r>
  <r>
    <x v="130"/>
    <x v="156"/>
    <x v="1"/>
    <x v="4"/>
    <x v="3"/>
    <x v="9"/>
    <x v="155"/>
    <x v="13"/>
    <x v="155"/>
    <x v="23"/>
    <x v="155"/>
    <x v="2"/>
  </r>
  <r>
    <x v="131"/>
    <x v="157"/>
    <x v="1"/>
    <x v="4"/>
    <x v="1"/>
    <x v="3"/>
    <x v="156"/>
    <x v="5"/>
    <x v="156"/>
    <x v="16"/>
    <x v="156"/>
    <x v="0"/>
  </r>
  <r>
    <x v="132"/>
    <x v="158"/>
    <x v="0"/>
    <x v="2"/>
    <x v="0"/>
    <x v="7"/>
    <x v="157"/>
    <x v="8"/>
    <x v="157"/>
    <x v="22"/>
    <x v="157"/>
    <x v="0"/>
  </r>
  <r>
    <x v="133"/>
    <x v="159"/>
    <x v="2"/>
    <x v="3"/>
    <x v="3"/>
    <x v="14"/>
    <x v="158"/>
    <x v="5"/>
    <x v="158"/>
    <x v="20"/>
    <x v="158"/>
    <x v="2"/>
  </r>
  <r>
    <x v="134"/>
    <x v="160"/>
    <x v="2"/>
    <x v="0"/>
    <x v="2"/>
    <x v="6"/>
    <x v="159"/>
    <x v="3"/>
    <x v="159"/>
    <x v="5"/>
    <x v="159"/>
    <x v="3"/>
  </r>
  <r>
    <x v="78"/>
    <x v="161"/>
    <x v="3"/>
    <x v="4"/>
    <x v="2"/>
    <x v="11"/>
    <x v="160"/>
    <x v="14"/>
    <x v="160"/>
    <x v="28"/>
    <x v="160"/>
    <x v="3"/>
  </r>
  <r>
    <x v="135"/>
    <x v="162"/>
    <x v="1"/>
    <x v="2"/>
    <x v="3"/>
    <x v="9"/>
    <x v="161"/>
    <x v="8"/>
    <x v="161"/>
    <x v="20"/>
    <x v="161"/>
    <x v="0"/>
  </r>
  <r>
    <x v="23"/>
    <x v="163"/>
    <x v="3"/>
    <x v="1"/>
    <x v="3"/>
    <x v="12"/>
    <x v="162"/>
    <x v="11"/>
    <x v="162"/>
    <x v="7"/>
    <x v="162"/>
    <x v="1"/>
  </r>
  <r>
    <x v="136"/>
    <x v="164"/>
    <x v="1"/>
    <x v="4"/>
    <x v="3"/>
    <x v="15"/>
    <x v="163"/>
    <x v="1"/>
    <x v="163"/>
    <x v="26"/>
    <x v="163"/>
    <x v="0"/>
  </r>
  <r>
    <x v="137"/>
    <x v="165"/>
    <x v="1"/>
    <x v="2"/>
    <x v="0"/>
    <x v="13"/>
    <x v="164"/>
    <x v="0"/>
    <x v="164"/>
    <x v="8"/>
    <x v="164"/>
    <x v="3"/>
  </r>
  <r>
    <x v="138"/>
    <x v="166"/>
    <x v="1"/>
    <x v="1"/>
    <x v="0"/>
    <x v="19"/>
    <x v="165"/>
    <x v="6"/>
    <x v="165"/>
    <x v="4"/>
    <x v="165"/>
    <x v="2"/>
  </r>
  <r>
    <x v="139"/>
    <x v="167"/>
    <x v="3"/>
    <x v="4"/>
    <x v="3"/>
    <x v="15"/>
    <x v="166"/>
    <x v="14"/>
    <x v="166"/>
    <x v="20"/>
    <x v="166"/>
    <x v="1"/>
  </r>
  <r>
    <x v="140"/>
    <x v="168"/>
    <x v="0"/>
    <x v="3"/>
    <x v="1"/>
    <x v="1"/>
    <x v="167"/>
    <x v="14"/>
    <x v="167"/>
    <x v="7"/>
    <x v="167"/>
    <x v="2"/>
  </r>
  <r>
    <x v="141"/>
    <x v="169"/>
    <x v="0"/>
    <x v="1"/>
    <x v="0"/>
    <x v="7"/>
    <x v="168"/>
    <x v="7"/>
    <x v="168"/>
    <x v="8"/>
    <x v="168"/>
    <x v="0"/>
  </r>
  <r>
    <x v="142"/>
    <x v="170"/>
    <x v="3"/>
    <x v="1"/>
    <x v="0"/>
    <x v="13"/>
    <x v="169"/>
    <x v="11"/>
    <x v="169"/>
    <x v="12"/>
    <x v="169"/>
    <x v="2"/>
  </r>
  <r>
    <x v="143"/>
    <x v="171"/>
    <x v="3"/>
    <x v="3"/>
    <x v="3"/>
    <x v="12"/>
    <x v="170"/>
    <x v="9"/>
    <x v="170"/>
    <x v="22"/>
    <x v="170"/>
    <x v="3"/>
  </r>
  <r>
    <x v="144"/>
    <x v="172"/>
    <x v="1"/>
    <x v="2"/>
    <x v="3"/>
    <x v="15"/>
    <x v="171"/>
    <x v="14"/>
    <x v="171"/>
    <x v="22"/>
    <x v="44"/>
    <x v="1"/>
  </r>
  <r>
    <x v="42"/>
    <x v="173"/>
    <x v="3"/>
    <x v="4"/>
    <x v="2"/>
    <x v="8"/>
    <x v="172"/>
    <x v="13"/>
    <x v="172"/>
    <x v="0"/>
    <x v="171"/>
    <x v="0"/>
  </r>
  <r>
    <x v="145"/>
    <x v="174"/>
    <x v="0"/>
    <x v="2"/>
    <x v="3"/>
    <x v="15"/>
    <x v="173"/>
    <x v="2"/>
    <x v="173"/>
    <x v="10"/>
    <x v="172"/>
    <x v="1"/>
  </r>
  <r>
    <x v="146"/>
    <x v="175"/>
    <x v="3"/>
    <x v="1"/>
    <x v="0"/>
    <x v="0"/>
    <x v="174"/>
    <x v="10"/>
    <x v="174"/>
    <x v="2"/>
    <x v="173"/>
    <x v="2"/>
  </r>
  <r>
    <x v="75"/>
    <x v="176"/>
    <x v="0"/>
    <x v="0"/>
    <x v="3"/>
    <x v="15"/>
    <x v="175"/>
    <x v="11"/>
    <x v="175"/>
    <x v="26"/>
    <x v="174"/>
    <x v="2"/>
  </r>
  <r>
    <x v="21"/>
    <x v="177"/>
    <x v="1"/>
    <x v="1"/>
    <x v="1"/>
    <x v="16"/>
    <x v="176"/>
    <x v="5"/>
    <x v="176"/>
    <x v="2"/>
    <x v="175"/>
    <x v="2"/>
  </r>
  <r>
    <x v="133"/>
    <x v="178"/>
    <x v="3"/>
    <x v="1"/>
    <x v="0"/>
    <x v="13"/>
    <x v="177"/>
    <x v="6"/>
    <x v="177"/>
    <x v="9"/>
    <x v="176"/>
    <x v="3"/>
  </r>
  <r>
    <x v="147"/>
    <x v="179"/>
    <x v="3"/>
    <x v="1"/>
    <x v="0"/>
    <x v="19"/>
    <x v="178"/>
    <x v="4"/>
    <x v="178"/>
    <x v="13"/>
    <x v="177"/>
    <x v="3"/>
  </r>
  <r>
    <x v="148"/>
    <x v="180"/>
    <x v="1"/>
    <x v="1"/>
    <x v="2"/>
    <x v="17"/>
    <x v="179"/>
    <x v="12"/>
    <x v="179"/>
    <x v="26"/>
    <x v="178"/>
    <x v="1"/>
  </r>
  <r>
    <x v="53"/>
    <x v="181"/>
    <x v="1"/>
    <x v="1"/>
    <x v="1"/>
    <x v="5"/>
    <x v="180"/>
    <x v="5"/>
    <x v="180"/>
    <x v="23"/>
    <x v="179"/>
    <x v="0"/>
  </r>
  <r>
    <x v="149"/>
    <x v="182"/>
    <x v="2"/>
    <x v="4"/>
    <x v="3"/>
    <x v="9"/>
    <x v="181"/>
    <x v="2"/>
    <x v="181"/>
    <x v="28"/>
    <x v="180"/>
    <x v="0"/>
  </r>
  <r>
    <x v="150"/>
    <x v="183"/>
    <x v="3"/>
    <x v="4"/>
    <x v="2"/>
    <x v="8"/>
    <x v="182"/>
    <x v="10"/>
    <x v="182"/>
    <x v="21"/>
    <x v="181"/>
    <x v="0"/>
  </r>
  <r>
    <x v="37"/>
    <x v="184"/>
    <x v="0"/>
    <x v="2"/>
    <x v="2"/>
    <x v="4"/>
    <x v="183"/>
    <x v="5"/>
    <x v="183"/>
    <x v="27"/>
    <x v="182"/>
    <x v="3"/>
  </r>
  <r>
    <x v="151"/>
    <x v="185"/>
    <x v="2"/>
    <x v="1"/>
    <x v="3"/>
    <x v="12"/>
    <x v="184"/>
    <x v="3"/>
    <x v="184"/>
    <x v="7"/>
    <x v="183"/>
    <x v="2"/>
  </r>
  <r>
    <x v="0"/>
    <x v="186"/>
    <x v="0"/>
    <x v="0"/>
    <x v="1"/>
    <x v="1"/>
    <x v="185"/>
    <x v="8"/>
    <x v="185"/>
    <x v="9"/>
    <x v="184"/>
    <x v="2"/>
  </r>
  <r>
    <x v="152"/>
    <x v="187"/>
    <x v="1"/>
    <x v="2"/>
    <x v="2"/>
    <x v="6"/>
    <x v="186"/>
    <x v="2"/>
    <x v="186"/>
    <x v="22"/>
    <x v="185"/>
    <x v="2"/>
  </r>
  <r>
    <x v="122"/>
    <x v="188"/>
    <x v="2"/>
    <x v="3"/>
    <x v="3"/>
    <x v="14"/>
    <x v="187"/>
    <x v="5"/>
    <x v="187"/>
    <x v="8"/>
    <x v="186"/>
    <x v="2"/>
  </r>
  <r>
    <x v="153"/>
    <x v="189"/>
    <x v="0"/>
    <x v="1"/>
    <x v="2"/>
    <x v="17"/>
    <x v="188"/>
    <x v="2"/>
    <x v="188"/>
    <x v="8"/>
    <x v="187"/>
    <x v="2"/>
  </r>
  <r>
    <x v="63"/>
    <x v="190"/>
    <x v="3"/>
    <x v="3"/>
    <x v="0"/>
    <x v="19"/>
    <x v="189"/>
    <x v="12"/>
    <x v="189"/>
    <x v="23"/>
    <x v="188"/>
    <x v="0"/>
  </r>
  <r>
    <x v="154"/>
    <x v="191"/>
    <x v="2"/>
    <x v="0"/>
    <x v="3"/>
    <x v="9"/>
    <x v="190"/>
    <x v="10"/>
    <x v="190"/>
    <x v="10"/>
    <x v="189"/>
    <x v="0"/>
  </r>
  <r>
    <x v="155"/>
    <x v="192"/>
    <x v="2"/>
    <x v="2"/>
    <x v="1"/>
    <x v="16"/>
    <x v="191"/>
    <x v="1"/>
    <x v="191"/>
    <x v="6"/>
    <x v="190"/>
    <x v="2"/>
  </r>
  <r>
    <x v="20"/>
    <x v="193"/>
    <x v="2"/>
    <x v="2"/>
    <x v="3"/>
    <x v="15"/>
    <x v="192"/>
    <x v="3"/>
    <x v="192"/>
    <x v="13"/>
    <x v="191"/>
    <x v="1"/>
  </r>
  <r>
    <x v="101"/>
    <x v="194"/>
    <x v="3"/>
    <x v="0"/>
    <x v="1"/>
    <x v="3"/>
    <x v="193"/>
    <x v="13"/>
    <x v="193"/>
    <x v="17"/>
    <x v="192"/>
    <x v="2"/>
  </r>
  <r>
    <x v="24"/>
    <x v="195"/>
    <x v="1"/>
    <x v="1"/>
    <x v="1"/>
    <x v="5"/>
    <x v="194"/>
    <x v="3"/>
    <x v="194"/>
    <x v="22"/>
    <x v="193"/>
    <x v="1"/>
  </r>
  <r>
    <x v="24"/>
    <x v="196"/>
    <x v="0"/>
    <x v="4"/>
    <x v="0"/>
    <x v="19"/>
    <x v="195"/>
    <x v="11"/>
    <x v="195"/>
    <x v="21"/>
    <x v="194"/>
    <x v="1"/>
  </r>
  <r>
    <x v="156"/>
    <x v="197"/>
    <x v="2"/>
    <x v="2"/>
    <x v="0"/>
    <x v="19"/>
    <x v="196"/>
    <x v="6"/>
    <x v="196"/>
    <x v="28"/>
    <x v="195"/>
    <x v="2"/>
  </r>
  <r>
    <x v="157"/>
    <x v="198"/>
    <x v="1"/>
    <x v="3"/>
    <x v="2"/>
    <x v="4"/>
    <x v="197"/>
    <x v="6"/>
    <x v="197"/>
    <x v="23"/>
    <x v="196"/>
    <x v="0"/>
  </r>
  <r>
    <x v="158"/>
    <x v="199"/>
    <x v="3"/>
    <x v="4"/>
    <x v="1"/>
    <x v="5"/>
    <x v="198"/>
    <x v="6"/>
    <x v="198"/>
    <x v="10"/>
    <x v="197"/>
    <x v="1"/>
  </r>
  <r>
    <x v="159"/>
    <x v="200"/>
    <x v="3"/>
    <x v="2"/>
    <x v="3"/>
    <x v="14"/>
    <x v="199"/>
    <x v="8"/>
    <x v="199"/>
    <x v="17"/>
    <x v="198"/>
    <x v="3"/>
  </r>
  <r>
    <x v="73"/>
    <x v="201"/>
    <x v="2"/>
    <x v="0"/>
    <x v="1"/>
    <x v="16"/>
    <x v="200"/>
    <x v="12"/>
    <x v="200"/>
    <x v="23"/>
    <x v="199"/>
    <x v="2"/>
  </r>
  <r>
    <x v="160"/>
    <x v="202"/>
    <x v="0"/>
    <x v="2"/>
    <x v="2"/>
    <x v="17"/>
    <x v="201"/>
    <x v="2"/>
    <x v="201"/>
    <x v="20"/>
    <x v="200"/>
    <x v="0"/>
  </r>
  <r>
    <x v="161"/>
    <x v="203"/>
    <x v="0"/>
    <x v="3"/>
    <x v="2"/>
    <x v="6"/>
    <x v="202"/>
    <x v="10"/>
    <x v="202"/>
    <x v="28"/>
    <x v="201"/>
    <x v="0"/>
  </r>
  <r>
    <x v="71"/>
    <x v="204"/>
    <x v="1"/>
    <x v="1"/>
    <x v="0"/>
    <x v="18"/>
    <x v="203"/>
    <x v="5"/>
    <x v="203"/>
    <x v="21"/>
    <x v="202"/>
    <x v="2"/>
  </r>
  <r>
    <x v="100"/>
    <x v="205"/>
    <x v="2"/>
    <x v="3"/>
    <x v="0"/>
    <x v="18"/>
    <x v="204"/>
    <x v="14"/>
    <x v="204"/>
    <x v="5"/>
    <x v="203"/>
    <x v="1"/>
  </r>
  <r>
    <x v="77"/>
    <x v="206"/>
    <x v="2"/>
    <x v="0"/>
    <x v="2"/>
    <x v="8"/>
    <x v="205"/>
    <x v="12"/>
    <x v="205"/>
    <x v="24"/>
    <x v="204"/>
    <x v="3"/>
  </r>
  <r>
    <x v="162"/>
    <x v="207"/>
    <x v="3"/>
    <x v="0"/>
    <x v="3"/>
    <x v="10"/>
    <x v="206"/>
    <x v="10"/>
    <x v="206"/>
    <x v="12"/>
    <x v="205"/>
    <x v="3"/>
  </r>
  <r>
    <x v="163"/>
    <x v="208"/>
    <x v="3"/>
    <x v="0"/>
    <x v="3"/>
    <x v="9"/>
    <x v="207"/>
    <x v="13"/>
    <x v="207"/>
    <x v="2"/>
    <x v="206"/>
    <x v="2"/>
  </r>
  <r>
    <x v="164"/>
    <x v="209"/>
    <x v="2"/>
    <x v="0"/>
    <x v="0"/>
    <x v="0"/>
    <x v="208"/>
    <x v="7"/>
    <x v="208"/>
    <x v="8"/>
    <x v="207"/>
    <x v="2"/>
  </r>
  <r>
    <x v="165"/>
    <x v="210"/>
    <x v="3"/>
    <x v="4"/>
    <x v="1"/>
    <x v="2"/>
    <x v="209"/>
    <x v="14"/>
    <x v="209"/>
    <x v="16"/>
    <x v="208"/>
    <x v="0"/>
  </r>
  <r>
    <x v="127"/>
    <x v="211"/>
    <x v="1"/>
    <x v="4"/>
    <x v="2"/>
    <x v="8"/>
    <x v="210"/>
    <x v="3"/>
    <x v="210"/>
    <x v="18"/>
    <x v="209"/>
    <x v="2"/>
  </r>
  <r>
    <x v="166"/>
    <x v="212"/>
    <x v="0"/>
    <x v="4"/>
    <x v="0"/>
    <x v="19"/>
    <x v="211"/>
    <x v="0"/>
    <x v="211"/>
    <x v="12"/>
    <x v="210"/>
    <x v="1"/>
  </r>
  <r>
    <x v="167"/>
    <x v="213"/>
    <x v="1"/>
    <x v="2"/>
    <x v="2"/>
    <x v="6"/>
    <x v="212"/>
    <x v="13"/>
    <x v="212"/>
    <x v="12"/>
    <x v="211"/>
    <x v="1"/>
  </r>
  <r>
    <x v="168"/>
    <x v="214"/>
    <x v="3"/>
    <x v="1"/>
    <x v="1"/>
    <x v="16"/>
    <x v="213"/>
    <x v="2"/>
    <x v="213"/>
    <x v="2"/>
    <x v="212"/>
    <x v="2"/>
  </r>
  <r>
    <x v="169"/>
    <x v="215"/>
    <x v="3"/>
    <x v="2"/>
    <x v="1"/>
    <x v="3"/>
    <x v="214"/>
    <x v="3"/>
    <x v="214"/>
    <x v="25"/>
    <x v="213"/>
    <x v="3"/>
  </r>
  <r>
    <x v="32"/>
    <x v="216"/>
    <x v="0"/>
    <x v="2"/>
    <x v="1"/>
    <x v="3"/>
    <x v="215"/>
    <x v="7"/>
    <x v="215"/>
    <x v="2"/>
    <x v="214"/>
    <x v="2"/>
  </r>
  <r>
    <x v="129"/>
    <x v="217"/>
    <x v="2"/>
    <x v="1"/>
    <x v="3"/>
    <x v="14"/>
    <x v="216"/>
    <x v="2"/>
    <x v="216"/>
    <x v="17"/>
    <x v="215"/>
    <x v="2"/>
  </r>
  <r>
    <x v="170"/>
    <x v="218"/>
    <x v="3"/>
    <x v="2"/>
    <x v="0"/>
    <x v="19"/>
    <x v="217"/>
    <x v="8"/>
    <x v="217"/>
    <x v="30"/>
    <x v="216"/>
    <x v="1"/>
  </r>
  <r>
    <x v="171"/>
    <x v="219"/>
    <x v="0"/>
    <x v="0"/>
    <x v="0"/>
    <x v="7"/>
    <x v="218"/>
    <x v="12"/>
    <x v="218"/>
    <x v="23"/>
    <x v="217"/>
    <x v="3"/>
  </r>
  <r>
    <x v="40"/>
    <x v="220"/>
    <x v="2"/>
    <x v="3"/>
    <x v="0"/>
    <x v="7"/>
    <x v="219"/>
    <x v="3"/>
    <x v="219"/>
    <x v="9"/>
    <x v="218"/>
    <x v="1"/>
  </r>
  <r>
    <x v="172"/>
    <x v="221"/>
    <x v="3"/>
    <x v="2"/>
    <x v="1"/>
    <x v="1"/>
    <x v="220"/>
    <x v="1"/>
    <x v="220"/>
    <x v="4"/>
    <x v="219"/>
    <x v="2"/>
  </r>
  <r>
    <x v="157"/>
    <x v="222"/>
    <x v="3"/>
    <x v="0"/>
    <x v="2"/>
    <x v="6"/>
    <x v="221"/>
    <x v="12"/>
    <x v="221"/>
    <x v="7"/>
    <x v="220"/>
    <x v="0"/>
  </r>
  <r>
    <x v="94"/>
    <x v="223"/>
    <x v="3"/>
    <x v="2"/>
    <x v="0"/>
    <x v="7"/>
    <x v="222"/>
    <x v="14"/>
    <x v="222"/>
    <x v="26"/>
    <x v="221"/>
    <x v="3"/>
  </r>
  <r>
    <x v="25"/>
    <x v="224"/>
    <x v="2"/>
    <x v="2"/>
    <x v="3"/>
    <x v="9"/>
    <x v="223"/>
    <x v="6"/>
    <x v="223"/>
    <x v="16"/>
    <x v="222"/>
    <x v="0"/>
  </r>
  <r>
    <x v="72"/>
    <x v="225"/>
    <x v="1"/>
    <x v="1"/>
    <x v="3"/>
    <x v="12"/>
    <x v="224"/>
    <x v="8"/>
    <x v="224"/>
    <x v="5"/>
    <x v="223"/>
    <x v="3"/>
  </r>
  <r>
    <x v="173"/>
    <x v="226"/>
    <x v="3"/>
    <x v="1"/>
    <x v="1"/>
    <x v="1"/>
    <x v="225"/>
    <x v="7"/>
    <x v="225"/>
    <x v="20"/>
    <x v="224"/>
    <x v="2"/>
  </r>
  <r>
    <x v="63"/>
    <x v="227"/>
    <x v="2"/>
    <x v="1"/>
    <x v="1"/>
    <x v="5"/>
    <x v="226"/>
    <x v="8"/>
    <x v="226"/>
    <x v="21"/>
    <x v="225"/>
    <x v="1"/>
  </r>
  <r>
    <x v="109"/>
    <x v="228"/>
    <x v="1"/>
    <x v="2"/>
    <x v="0"/>
    <x v="19"/>
    <x v="227"/>
    <x v="10"/>
    <x v="227"/>
    <x v="21"/>
    <x v="226"/>
    <x v="3"/>
  </r>
  <r>
    <x v="174"/>
    <x v="229"/>
    <x v="3"/>
    <x v="3"/>
    <x v="0"/>
    <x v="0"/>
    <x v="228"/>
    <x v="6"/>
    <x v="228"/>
    <x v="3"/>
    <x v="227"/>
    <x v="2"/>
  </r>
  <r>
    <x v="62"/>
    <x v="230"/>
    <x v="1"/>
    <x v="1"/>
    <x v="0"/>
    <x v="0"/>
    <x v="229"/>
    <x v="2"/>
    <x v="229"/>
    <x v="16"/>
    <x v="228"/>
    <x v="0"/>
  </r>
  <r>
    <x v="108"/>
    <x v="231"/>
    <x v="2"/>
    <x v="1"/>
    <x v="0"/>
    <x v="13"/>
    <x v="230"/>
    <x v="7"/>
    <x v="230"/>
    <x v="13"/>
    <x v="229"/>
    <x v="3"/>
  </r>
  <r>
    <x v="175"/>
    <x v="232"/>
    <x v="2"/>
    <x v="2"/>
    <x v="3"/>
    <x v="9"/>
    <x v="231"/>
    <x v="0"/>
    <x v="231"/>
    <x v="5"/>
    <x v="230"/>
    <x v="0"/>
  </r>
  <r>
    <x v="21"/>
    <x v="233"/>
    <x v="3"/>
    <x v="2"/>
    <x v="2"/>
    <x v="6"/>
    <x v="232"/>
    <x v="10"/>
    <x v="232"/>
    <x v="0"/>
    <x v="231"/>
    <x v="0"/>
  </r>
  <r>
    <x v="91"/>
    <x v="234"/>
    <x v="2"/>
    <x v="4"/>
    <x v="1"/>
    <x v="16"/>
    <x v="233"/>
    <x v="4"/>
    <x v="233"/>
    <x v="10"/>
    <x v="232"/>
    <x v="1"/>
  </r>
  <r>
    <x v="140"/>
    <x v="235"/>
    <x v="0"/>
    <x v="2"/>
    <x v="3"/>
    <x v="10"/>
    <x v="234"/>
    <x v="8"/>
    <x v="234"/>
    <x v="27"/>
    <x v="233"/>
    <x v="0"/>
  </r>
  <r>
    <x v="176"/>
    <x v="236"/>
    <x v="0"/>
    <x v="1"/>
    <x v="3"/>
    <x v="9"/>
    <x v="235"/>
    <x v="13"/>
    <x v="235"/>
    <x v="8"/>
    <x v="234"/>
    <x v="3"/>
  </r>
  <r>
    <x v="129"/>
    <x v="237"/>
    <x v="3"/>
    <x v="4"/>
    <x v="1"/>
    <x v="16"/>
    <x v="236"/>
    <x v="11"/>
    <x v="236"/>
    <x v="8"/>
    <x v="235"/>
    <x v="0"/>
  </r>
  <r>
    <x v="177"/>
    <x v="238"/>
    <x v="0"/>
    <x v="3"/>
    <x v="2"/>
    <x v="4"/>
    <x v="237"/>
    <x v="9"/>
    <x v="237"/>
    <x v="27"/>
    <x v="236"/>
    <x v="2"/>
  </r>
  <r>
    <x v="178"/>
    <x v="239"/>
    <x v="2"/>
    <x v="0"/>
    <x v="3"/>
    <x v="15"/>
    <x v="238"/>
    <x v="12"/>
    <x v="238"/>
    <x v="24"/>
    <x v="237"/>
    <x v="3"/>
  </r>
  <r>
    <x v="179"/>
    <x v="240"/>
    <x v="1"/>
    <x v="0"/>
    <x v="2"/>
    <x v="6"/>
    <x v="239"/>
    <x v="13"/>
    <x v="239"/>
    <x v="17"/>
    <x v="238"/>
    <x v="3"/>
  </r>
  <r>
    <x v="61"/>
    <x v="241"/>
    <x v="2"/>
    <x v="1"/>
    <x v="2"/>
    <x v="4"/>
    <x v="240"/>
    <x v="13"/>
    <x v="240"/>
    <x v="2"/>
    <x v="239"/>
    <x v="2"/>
  </r>
  <r>
    <x v="81"/>
    <x v="242"/>
    <x v="0"/>
    <x v="2"/>
    <x v="0"/>
    <x v="0"/>
    <x v="241"/>
    <x v="0"/>
    <x v="241"/>
    <x v="16"/>
    <x v="240"/>
    <x v="1"/>
  </r>
  <r>
    <x v="180"/>
    <x v="243"/>
    <x v="1"/>
    <x v="1"/>
    <x v="3"/>
    <x v="15"/>
    <x v="242"/>
    <x v="6"/>
    <x v="242"/>
    <x v="20"/>
    <x v="241"/>
    <x v="2"/>
  </r>
  <r>
    <x v="124"/>
    <x v="244"/>
    <x v="1"/>
    <x v="0"/>
    <x v="1"/>
    <x v="5"/>
    <x v="243"/>
    <x v="9"/>
    <x v="243"/>
    <x v="25"/>
    <x v="242"/>
    <x v="1"/>
  </r>
  <r>
    <x v="40"/>
    <x v="245"/>
    <x v="3"/>
    <x v="0"/>
    <x v="0"/>
    <x v="18"/>
    <x v="244"/>
    <x v="3"/>
    <x v="244"/>
    <x v="29"/>
    <x v="243"/>
    <x v="3"/>
  </r>
  <r>
    <x v="181"/>
    <x v="246"/>
    <x v="0"/>
    <x v="1"/>
    <x v="2"/>
    <x v="6"/>
    <x v="245"/>
    <x v="2"/>
    <x v="245"/>
    <x v="8"/>
    <x v="244"/>
    <x v="1"/>
  </r>
  <r>
    <x v="182"/>
    <x v="247"/>
    <x v="0"/>
    <x v="1"/>
    <x v="1"/>
    <x v="5"/>
    <x v="246"/>
    <x v="1"/>
    <x v="246"/>
    <x v="9"/>
    <x v="245"/>
    <x v="2"/>
  </r>
  <r>
    <x v="183"/>
    <x v="248"/>
    <x v="1"/>
    <x v="4"/>
    <x v="0"/>
    <x v="19"/>
    <x v="247"/>
    <x v="12"/>
    <x v="247"/>
    <x v="8"/>
    <x v="246"/>
    <x v="3"/>
  </r>
  <r>
    <x v="150"/>
    <x v="249"/>
    <x v="3"/>
    <x v="3"/>
    <x v="1"/>
    <x v="2"/>
    <x v="248"/>
    <x v="12"/>
    <x v="248"/>
    <x v="16"/>
    <x v="247"/>
    <x v="0"/>
  </r>
  <r>
    <x v="119"/>
    <x v="250"/>
    <x v="3"/>
    <x v="3"/>
    <x v="2"/>
    <x v="6"/>
    <x v="249"/>
    <x v="14"/>
    <x v="249"/>
    <x v="3"/>
    <x v="248"/>
    <x v="0"/>
  </r>
  <r>
    <x v="184"/>
    <x v="251"/>
    <x v="0"/>
    <x v="2"/>
    <x v="1"/>
    <x v="16"/>
    <x v="250"/>
    <x v="13"/>
    <x v="250"/>
    <x v="26"/>
    <x v="249"/>
    <x v="0"/>
  </r>
  <r>
    <x v="54"/>
    <x v="252"/>
    <x v="2"/>
    <x v="0"/>
    <x v="1"/>
    <x v="2"/>
    <x v="251"/>
    <x v="8"/>
    <x v="251"/>
    <x v="1"/>
    <x v="250"/>
    <x v="2"/>
  </r>
  <r>
    <x v="185"/>
    <x v="253"/>
    <x v="0"/>
    <x v="3"/>
    <x v="3"/>
    <x v="9"/>
    <x v="252"/>
    <x v="3"/>
    <x v="252"/>
    <x v="20"/>
    <x v="251"/>
    <x v="1"/>
  </r>
  <r>
    <x v="74"/>
    <x v="254"/>
    <x v="1"/>
    <x v="2"/>
    <x v="0"/>
    <x v="7"/>
    <x v="107"/>
    <x v="9"/>
    <x v="253"/>
    <x v="9"/>
    <x v="252"/>
    <x v="3"/>
  </r>
  <r>
    <x v="117"/>
    <x v="255"/>
    <x v="2"/>
    <x v="2"/>
    <x v="0"/>
    <x v="18"/>
    <x v="253"/>
    <x v="8"/>
    <x v="254"/>
    <x v="28"/>
    <x v="253"/>
    <x v="0"/>
  </r>
  <r>
    <x v="186"/>
    <x v="256"/>
    <x v="3"/>
    <x v="4"/>
    <x v="3"/>
    <x v="15"/>
    <x v="254"/>
    <x v="0"/>
    <x v="255"/>
    <x v="17"/>
    <x v="254"/>
    <x v="0"/>
  </r>
  <r>
    <x v="174"/>
    <x v="257"/>
    <x v="2"/>
    <x v="0"/>
    <x v="3"/>
    <x v="12"/>
    <x v="255"/>
    <x v="1"/>
    <x v="256"/>
    <x v="9"/>
    <x v="255"/>
    <x v="0"/>
  </r>
  <r>
    <x v="187"/>
    <x v="258"/>
    <x v="3"/>
    <x v="0"/>
    <x v="2"/>
    <x v="11"/>
    <x v="256"/>
    <x v="13"/>
    <x v="257"/>
    <x v="6"/>
    <x v="256"/>
    <x v="0"/>
  </r>
  <r>
    <x v="188"/>
    <x v="259"/>
    <x v="2"/>
    <x v="0"/>
    <x v="3"/>
    <x v="12"/>
    <x v="209"/>
    <x v="13"/>
    <x v="258"/>
    <x v="8"/>
    <x v="257"/>
    <x v="2"/>
  </r>
  <r>
    <x v="189"/>
    <x v="260"/>
    <x v="1"/>
    <x v="4"/>
    <x v="3"/>
    <x v="12"/>
    <x v="257"/>
    <x v="12"/>
    <x v="259"/>
    <x v="22"/>
    <x v="258"/>
    <x v="0"/>
  </r>
  <r>
    <x v="30"/>
    <x v="261"/>
    <x v="3"/>
    <x v="1"/>
    <x v="0"/>
    <x v="13"/>
    <x v="258"/>
    <x v="8"/>
    <x v="260"/>
    <x v="16"/>
    <x v="259"/>
    <x v="1"/>
  </r>
  <r>
    <x v="190"/>
    <x v="262"/>
    <x v="1"/>
    <x v="3"/>
    <x v="2"/>
    <x v="11"/>
    <x v="259"/>
    <x v="13"/>
    <x v="261"/>
    <x v="27"/>
    <x v="260"/>
    <x v="0"/>
  </r>
  <r>
    <x v="191"/>
    <x v="263"/>
    <x v="1"/>
    <x v="2"/>
    <x v="0"/>
    <x v="7"/>
    <x v="260"/>
    <x v="1"/>
    <x v="262"/>
    <x v="28"/>
    <x v="261"/>
    <x v="0"/>
  </r>
  <r>
    <x v="166"/>
    <x v="264"/>
    <x v="1"/>
    <x v="1"/>
    <x v="2"/>
    <x v="6"/>
    <x v="261"/>
    <x v="12"/>
    <x v="263"/>
    <x v="11"/>
    <x v="262"/>
    <x v="0"/>
  </r>
  <r>
    <x v="19"/>
    <x v="265"/>
    <x v="2"/>
    <x v="0"/>
    <x v="1"/>
    <x v="3"/>
    <x v="262"/>
    <x v="10"/>
    <x v="264"/>
    <x v="16"/>
    <x v="263"/>
    <x v="0"/>
  </r>
  <r>
    <x v="192"/>
    <x v="266"/>
    <x v="3"/>
    <x v="3"/>
    <x v="3"/>
    <x v="14"/>
    <x v="263"/>
    <x v="12"/>
    <x v="265"/>
    <x v="9"/>
    <x v="264"/>
    <x v="2"/>
  </r>
  <r>
    <x v="193"/>
    <x v="267"/>
    <x v="3"/>
    <x v="1"/>
    <x v="1"/>
    <x v="16"/>
    <x v="264"/>
    <x v="2"/>
    <x v="266"/>
    <x v="7"/>
    <x v="265"/>
    <x v="3"/>
  </r>
  <r>
    <x v="145"/>
    <x v="268"/>
    <x v="3"/>
    <x v="0"/>
    <x v="0"/>
    <x v="13"/>
    <x v="265"/>
    <x v="14"/>
    <x v="267"/>
    <x v="13"/>
    <x v="266"/>
    <x v="2"/>
  </r>
  <r>
    <x v="194"/>
    <x v="269"/>
    <x v="0"/>
    <x v="2"/>
    <x v="0"/>
    <x v="19"/>
    <x v="266"/>
    <x v="2"/>
    <x v="268"/>
    <x v="13"/>
    <x v="267"/>
    <x v="2"/>
  </r>
  <r>
    <x v="195"/>
    <x v="270"/>
    <x v="2"/>
    <x v="4"/>
    <x v="3"/>
    <x v="10"/>
    <x v="267"/>
    <x v="8"/>
    <x v="269"/>
    <x v="27"/>
    <x v="268"/>
    <x v="3"/>
  </r>
  <r>
    <x v="196"/>
    <x v="271"/>
    <x v="1"/>
    <x v="4"/>
    <x v="1"/>
    <x v="16"/>
    <x v="268"/>
    <x v="13"/>
    <x v="270"/>
    <x v="28"/>
    <x v="269"/>
    <x v="0"/>
  </r>
  <r>
    <x v="197"/>
    <x v="272"/>
    <x v="1"/>
    <x v="3"/>
    <x v="1"/>
    <x v="3"/>
    <x v="269"/>
    <x v="10"/>
    <x v="271"/>
    <x v="21"/>
    <x v="270"/>
    <x v="1"/>
  </r>
  <r>
    <x v="15"/>
    <x v="273"/>
    <x v="2"/>
    <x v="3"/>
    <x v="3"/>
    <x v="14"/>
    <x v="270"/>
    <x v="11"/>
    <x v="272"/>
    <x v="23"/>
    <x v="271"/>
    <x v="3"/>
  </r>
  <r>
    <x v="68"/>
    <x v="274"/>
    <x v="2"/>
    <x v="4"/>
    <x v="2"/>
    <x v="4"/>
    <x v="271"/>
    <x v="5"/>
    <x v="273"/>
    <x v="16"/>
    <x v="272"/>
    <x v="1"/>
  </r>
  <r>
    <x v="15"/>
    <x v="275"/>
    <x v="0"/>
    <x v="4"/>
    <x v="0"/>
    <x v="18"/>
    <x v="272"/>
    <x v="1"/>
    <x v="274"/>
    <x v="19"/>
    <x v="273"/>
    <x v="0"/>
  </r>
  <r>
    <x v="198"/>
    <x v="276"/>
    <x v="3"/>
    <x v="3"/>
    <x v="0"/>
    <x v="7"/>
    <x v="273"/>
    <x v="14"/>
    <x v="275"/>
    <x v="15"/>
    <x v="274"/>
    <x v="3"/>
  </r>
  <r>
    <x v="199"/>
    <x v="277"/>
    <x v="0"/>
    <x v="1"/>
    <x v="3"/>
    <x v="14"/>
    <x v="274"/>
    <x v="7"/>
    <x v="276"/>
    <x v="11"/>
    <x v="275"/>
    <x v="1"/>
  </r>
  <r>
    <x v="11"/>
    <x v="278"/>
    <x v="0"/>
    <x v="1"/>
    <x v="1"/>
    <x v="1"/>
    <x v="275"/>
    <x v="11"/>
    <x v="277"/>
    <x v="15"/>
    <x v="276"/>
    <x v="1"/>
  </r>
  <r>
    <x v="139"/>
    <x v="279"/>
    <x v="3"/>
    <x v="4"/>
    <x v="3"/>
    <x v="9"/>
    <x v="276"/>
    <x v="13"/>
    <x v="278"/>
    <x v="3"/>
    <x v="277"/>
    <x v="0"/>
  </r>
  <r>
    <x v="95"/>
    <x v="280"/>
    <x v="2"/>
    <x v="4"/>
    <x v="2"/>
    <x v="8"/>
    <x v="277"/>
    <x v="3"/>
    <x v="279"/>
    <x v="19"/>
    <x v="278"/>
    <x v="3"/>
  </r>
  <r>
    <x v="200"/>
    <x v="281"/>
    <x v="0"/>
    <x v="1"/>
    <x v="0"/>
    <x v="19"/>
    <x v="278"/>
    <x v="5"/>
    <x v="280"/>
    <x v="29"/>
    <x v="279"/>
    <x v="0"/>
  </r>
  <r>
    <x v="168"/>
    <x v="282"/>
    <x v="2"/>
    <x v="4"/>
    <x v="1"/>
    <x v="16"/>
    <x v="279"/>
    <x v="12"/>
    <x v="281"/>
    <x v="3"/>
    <x v="280"/>
    <x v="0"/>
  </r>
  <r>
    <x v="56"/>
    <x v="283"/>
    <x v="0"/>
    <x v="3"/>
    <x v="0"/>
    <x v="7"/>
    <x v="280"/>
    <x v="8"/>
    <x v="282"/>
    <x v="29"/>
    <x v="281"/>
    <x v="2"/>
  </r>
  <r>
    <x v="168"/>
    <x v="284"/>
    <x v="0"/>
    <x v="0"/>
    <x v="0"/>
    <x v="13"/>
    <x v="281"/>
    <x v="8"/>
    <x v="283"/>
    <x v="11"/>
    <x v="282"/>
    <x v="0"/>
  </r>
  <r>
    <x v="201"/>
    <x v="285"/>
    <x v="2"/>
    <x v="2"/>
    <x v="0"/>
    <x v="19"/>
    <x v="282"/>
    <x v="10"/>
    <x v="284"/>
    <x v="0"/>
    <x v="283"/>
    <x v="2"/>
  </r>
  <r>
    <x v="58"/>
    <x v="286"/>
    <x v="1"/>
    <x v="4"/>
    <x v="3"/>
    <x v="9"/>
    <x v="283"/>
    <x v="6"/>
    <x v="285"/>
    <x v="2"/>
    <x v="284"/>
    <x v="1"/>
  </r>
  <r>
    <x v="202"/>
    <x v="287"/>
    <x v="2"/>
    <x v="3"/>
    <x v="1"/>
    <x v="16"/>
    <x v="284"/>
    <x v="9"/>
    <x v="286"/>
    <x v="1"/>
    <x v="285"/>
    <x v="2"/>
  </r>
  <r>
    <x v="203"/>
    <x v="288"/>
    <x v="0"/>
    <x v="1"/>
    <x v="0"/>
    <x v="13"/>
    <x v="285"/>
    <x v="14"/>
    <x v="287"/>
    <x v="29"/>
    <x v="286"/>
    <x v="2"/>
  </r>
  <r>
    <x v="24"/>
    <x v="289"/>
    <x v="0"/>
    <x v="4"/>
    <x v="3"/>
    <x v="14"/>
    <x v="286"/>
    <x v="6"/>
    <x v="288"/>
    <x v="8"/>
    <x v="287"/>
    <x v="2"/>
  </r>
  <r>
    <x v="204"/>
    <x v="290"/>
    <x v="2"/>
    <x v="4"/>
    <x v="1"/>
    <x v="5"/>
    <x v="287"/>
    <x v="8"/>
    <x v="289"/>
    <x v="22"/>
    <x v="158"/>
    <x v="3"/>
  </r>
  <r>
    <x v="27"/>
    <x v="291"/>
    <x v="2"/>
    <x v="2"/>
    <x v="0"/>
    <x v="18"/>
    <x v="288"/>
    <x v="2"/>
    <x v="290"/>
    <x v="26"/>
    <x v="288"/>
    <x v="1"/>
  </r>
  <r>
    <x v="13"/>
    <x v="292"/>
    <x v="0"/>
    <x v="1"/>
    <x v="2"/>
    <x v="8"/>
    <x v="289"/>
    <x v="0"/>
    <x v="291"/>
    <x v="26"/>
    <x v="289"/>
    <x v="3"/>
  </r>
  <r>
    <x v="87"/>
    <x v="293"/>
    <x v="3"/>
    <x v="2"/>
    <x v="2"/>
    <x v="6"/>
    <x v="290"/>
    <x v="6"/>
    <x v="292"/>
    <x v="14"/>
    <x v="290"/>
    <x v="0"/>
  </r>
  <r>
    <x v="205"/>
    <x v="294"/>
    <x v="3"/>
    <x v="0"/>
    <x v="2"/>
    <x v="17"/>
    <x v="291"/>
    <x v="14"/>
    <x v="293"/>
    <x v="21"/>
    <x v="291"/>
    <x v="1"/>
  </r>
  <r>
    <x v="168"/>
    <x v="295"/>
    <x v="3"/>
    <x v="3"/>
    <x v="0"/>
    <x v="7"/>
    <x v="292"/>
    <x v="8"/>
    <x v="294"/>
    <x v="25"/>
    <x v="292"/>
    <x v="3"/>
  </r>
  <r>
    <x v="21"/>
    <x v="296"/>
    <x v="2"/>
    <x v="1"/>
    <x v="3"/>
    <x v="9"/>
    <x v="293"/>
    <x v="1"/>
    <x v="295"/>
    <x v="11"/>
    <x v="293"/>
    <x v="1"/>
  </r>
  <r>
    <x v="90"/>
    <x v="297"/>
    <x v="0"/>
    <x v="0"/>
    <x v="2"/>
    <x v="8"/>
    <x v="294"/>
    <x v="7"/>
    <x v="296"/>
    <x v="10"/>
    <x v="294"/>
    <x v="1"/>
  </r>
  <r>
    <x v="14"/>
    <x v="298"/>
    <x v="1"/>
    <x v="1"/>
    <x v="0"/>
    <x v="0"/>
    <x v="295"/>
    <x v="9"/>
    <x v="297"/>
    <x v="2"/>
    <x v="295"/>
    <x v="3"/>
  </r>
  <r>
    <x v="206"/>
    <x v="299"/>
    <x v="2"/>
    <x v="3"/>
    <x v="0"/>
    <x v="13"/>
    <x v="296"/>
    <x v="1"/>
    <x v="298"/>
    <x v="13"/>
    <x v="296"/>
    <x v="2"/>
  </r>
  <r>
    <x v="207"/>
    <x v="300"/>
    <x v="3"/>
    <x v="3"/>
    <x v="2"/>
    <x v="17"/>
    <x v="297"/>
    <x v="2"/>
    <x v="299"/>
    <x v="0"/>
    <x v="297"/>
    <x v="0"/>
  </r>
  <r>
    <x v="59"/>
    <x v="301"/>
    <x v="3"/>
    <x v="3"/>
    <x v="2"/>
    <x v="4"/>
    <x v="298"/>
    <x v="14"/>
    <x v="300"/>
    <x v="27"/>
    <x v="298"/>
    <x v="0"/>
  </r>
  <r>
    <x v="96"/>
    <x v="302"/>
    <x v="3"/>
    <x v="4"/>
    <x v="2"/>
    <x v="4"/>
    <x v="299"/>
    <x v="10"/>
    <x v="301"/>
    <x v="1"/>
    <x v="299"/>
    <x v="3"/>
  </r>
  <r>
    <x v="51"/>
    <x v="303"/>
    <x v="3"/>
    <x v="4"/>
    <x v="2"/>
    <x v="6"/>
    <x v="300"/>
    <x v="5"/>
    <x v="302"/>
    <x v="2"/>
    <x v="300"/>
    <x v="0"/>
  </r>
  <r>
    <x v="83"/>
    <x v="304"/>
    <x v="2"/>
    <x v="1"/>
    <x v="3"/>
    <x v="12"/>
    <x v="301"/>
    <x v="4"/>
    <x v="303"/>
    <x v="13"/>
    <x v="301"/>
    <x v="1"/>
  </r>
  <r>
    <x v="208"/>
    <x v="305"/>
    <x v="1"/>
    <x v="0"/>
    <x v="2"/>
    <x v="8"/>
    <x v="302"/>
    <x v="6"/>
    <x v="304"/>
    <x v="18"/>
    <x v="302"/>
    <x v="0"/>
  </r>
  <r>
    <x v="192"/>
    <x v="306"/>
    <x v="1"/>
    <x v="3"/>
    <x v="2"/>
    <x v="11"/>
    <x v="303"/>
    <x v="1"/>
    <x v="305"/>
    <x v="11"/>
    <x v="303"/>
    <x v="2"/>
  </r>
  <r>
    <x v="209"/>
    <x v="307"/>
    <x v="0"/>
    <x v="1"/>
    <x v="1"/>
    <x v="3"/>
    <x v="304"/>
    <x v="12"/>
    <x v="306"/>
    <x v="25"/>
    <x v="304"/>
    <x v="1"/>
  </r>
  <r>
    <x v="210"/>
    <x v="308"/>
    <x v="3"/>
    <x v="4"/>
    <x v="1"/>
    <x v="2"/>
    <x v="305"/>
    <x v="4"/>
    <x v="307"/>
    <x v="9"/>
    <x v="305"/>
    <x v="1"/>
  </r>
  <r>
    <x v="141"/>
    <x v="309"/>
    <x v="3"/>
    <x v="1"/>
    <x v="1"/>
    <x v="3"/>
    <x v="306"/>
    <x v="10"/>
    <x v="308"/>
    <x v="12"/>
    <x v="306"/>
    <x v="1"/>
  </r>
  <r>
    <x v="132"/>
    <x v="310"/>
    <x v="1"/>
    <x v="2"/>
    <x v="3"/>
    <x v="10"/>
    <x v="307"/>
    <x v="0"/>
    <x v="309"/>
    <x v="8"/>
    <x v="307"/>
    <x v="0"/>
  </r>
  <r>
    <x v="211"/>
    <x v="311"/>
    <x v="1"/>
    <x v="4"/>
    <x v="1"/>
    <x v="3"/>
    <x v="308"/>
    <x v="4"/>
    <x v="310"/>
    <x v="7"/>
    <x v="308"/>
    <x v="3"/>
  </r>
  <r>
    <x v="135"/>
    <x v="312"/>
    <x v="3"/>
    <x v="0"/>
    <x v="2"/>
    <x v="6"/>
    <x v="309"/>
    <x v="5"/>
    <x v="311"/>
    <x v="10"/>
    <x v="309"/>
    <x v="0"/>
  </r>
  <r>
    <x v="169"/>
    <x v="313"/>
    <x v="1"/>
    <x v="0"/>
    <x v="0"/>
    <x v="0"/>
    <x v="310"/>
    <x v="14"/>
    <x v="312"/>
    <x v="20"/>
    <x v="310"/>
    <x v="0"/>
  </r>
  <r>
    <x v="212"/>
    <x v="314"/>
    <x v="0"/>
    <x v="4"/>
    <x v="3"/>
    <x v="15"/>
    <x v="311"/>
    <x v="4"/>
    <x v="313"/>
    <x v="12"/>
    <x v="311"/>
    <x v="1"/>
  </r>
  <r>
    <x v="213"/>
    <x v="315"/>
    <x v="2"/>
    <x v="4"/>
    <x v="1"/>
    <x v="16"/>
    <x v="312"/>
    <x v="13"/>
    <x v="314"/>
    <x v="19"/>
    <x v="312"/>
    <x v="1"/>
  </r>
  <r>
    <x v="119"/>
    <x v="316"/>
    <x v="1"/>
    <x v="1"/>
    <x v="2"/>
    <x v="11"/>
    <x v="313"/>
    <x v="14"/>
    <x v="315"/>
    <x v="4"/>
    <x v="313"/>
    <x v="3"/>
  </r>
  <r>
    <x v="214"/>
    <x v="317"/>
    <x v="3"/>
    <x v="1"/>
    <x v="1"/>
    <x v="3"/>
    <x v="314"/>
    <x v="11"/>
    <x v="316"/>
    <x v="8"/>
    <x v="314"/>
    <x v="1"/>
  </r>
  <r>
    <x v="215"/>
    <x v="318"/>
    <x v="3"/>
    <x v="2"/>
    <x v="2"/>
    <x v="17"/>
    <x v="315"/>
    <x v="12"/>
    <x v="317"/>
    <x v="0"/>
    <x v="315"/>
    <x v="3"/>
  </r>
  <r>
    <x v="192"/>
    <x v="319"/>
    <x v="0"/>
    <x v="3"/>
    <x v="1"/>
    <x v="1"/>
    <x v="316"/>
    <x v="5"/>
    <x v="318"/>
    <x v="3"/>
    <x v="316"/>
    <x v="0"/>
  </r>
  <r>
    <x v="216"/>
    <x v="320"/>
    <x v="3"/>
    <x v="1"/>
    <x v="1"/>
    <x v="2"/>
    <x v="317"/>
    <x v="14"/>
    <x v="319"/>
    <x v="28"/>
    <x v="317"/>
    <x v="1"/>
  </r>
  <r>
    <x v="217"/>
    <x v="321"/>
    <x v="0"/>
    <x v="3"/>
    <x v="3"/>
    <x v="14"/>
    <x v="318"/>
    <x v="0"/>
    <x v="320"/>
    <x v="0"/>
    <x v="318"/>
    <x v="1"/>
  </r>
  <r>
    <x v="218"/>
    <x v="322"/>
    <x v="2"/>
    <x v="2"/>
    <x v="3"/>
    <x v="12"/>
    <x v="319"/>
    <x v="7"/>
    <x v="321"/>
    <x v="2"/>
    <x v="319"/>
    <x v="0"/>
  </r>
  <r>
    <x v="219"/>
    <x v="323"/>
    <x v="2"/>
    <x v="2"/>
    <x v="3"/>
    <x v="10"/>
    <x v="320"/>
    <x v="1"/>
    <x v="322"/>
    <x v="12"/>
    <x v="320"/>
    <x v="3"/>
  </r>
  <r>
    <x v="175"/>
    <x v="324"/>
    <x v="0"/>
    <x v="0"/>
    <x v="3"/>
    <x v="15"/>
    <x v="321"/>
    <x v="12"/>
    <x v="323"/>
    <x v="6"/>
    <x v="321"/>
    <x v="1"/>
  </r>
  <r>
    <x v="220"/>
    <x v="325"/>
    <x v="2"/>
    <x v="2"/>
    <x v="1"/>
    <x v="16"/>
    <x v="322"/>
    <x v="5"/>
    <x v="324"/>
    <x v="27"/>
    <x v="322"/>
    <x v="0"/>
  </r>
  <r>
    <x v="141"/>
    <x v="326"/>
    <x v="2"/>
    <x v="3"/>
    <x v="0"/>
    <x v="0"/>
    <x v="323"/>
    <x v="9"/>
    <x v="325"/>
    <x v="28"/>
    <x v="323"/>
    <x v="1"/>
  </r>
  <r>
    <x v="166"/>
    <x v="327"/>
    <x v="0"/>
    <x v="2"/>
    <x v="2"/>
    <x v="17"/>
    <x v="324"/>
    <x v="12"/>
    <x v="326"/>
    <x v="21"/>
    <x v="324"/>
    <x v="0"/>
  </r>
  <r>
    <x v="62"/>
    <x v="328"/>
    <x v="2"/>
    <x v="2"/>
    <x v="3"/>
    <x v="9"/>
    <x v="325"/>
    <x v="3"/>
    <x v="327"/>
    <x v="23"/>
    <x v="325"/>
    <x v="3"/>
  </r>
  <r>
    <x v="169"/>
    <x v="329"/>
    <x v="3"/>
    <x v="0"/>
    <x v="2"/>
    <x v="6"/>
    <x v="326"/>
    <x v="9"/>
    <x v="328"/>
    <x v="10"/>
    <x v="326"/>
    <x v="2"/>
  </r>
  <r>
    <x v="98"/>
    <x v="330"/>
    <x v="2"/>
    <x v="4"/>
    <x v="2"/>
    <x v="8"/>
    <x v="327"/>
    <x v="9"/>
    <x v="329"/>
    <x v="13"/>
    <x v="327"/>
    <x v="1"/>
  </r>
  <r>
    <x v="156"/>
    <x v="331"/>
    <x v="1"/>
    <x v="3"/>
    <x v="3"/>
    <x v="12"/>
    <x v="328"/>
    <x v="12"/>
    <x v="330"/>
    <x v="6"/>
    <x v="328"/>
    <x v="0"/>
  </r>
  <r>
    <x v="2"/>
    <x v="332"/>
    <x v="0"/>
    <x v="2"/>
    <x v="1"/>
    <x v="2"/>
    <x v="329"/>
    <x v="12"/>
    <x v="331"/>
    <x v="28"/>
    <x v="329"/>
    <x v="2"/>
  </r>
  <r>
    <x v="108"/>
    <x v="333"/>
    <x v="0"/>
    <x v="0"/>
    <x v="1"/>
    <x v="2"/>
    <x v="330"/>
    <x v="9"/>
    <x v="332"/>
    <x v="14"/>
    <x v="330"/>
    <x v="2"/>
  </r>
  <r>
    <x v="221"/>
    <x v="334"/>
    <x v="0"/>
    <x v="0"/>
    <x v="1"/>
    <x v="2"/>
    <x v="331"/>
    <x v="2"/>
    <x v="333"/>
    <x v="5"/>
    <x v="331"/>
    <x v="3"/>
  </r>
  <r>
    <x v="146"/>
    <x v="335"/>
    <x v="1"/>
    <x v="4"/>
    <x v="1"/>
    <x v="5"/>
    <x v="332"/>
    <x v="10"/>
    <x v="334"/>
    <x v="8"/>
    <x v="332"/>
    <x v="2"/>
  </r>
  <r>
    <x v="222"/>
    <x v="336"/>
    <x v="1"/>
    <x v="4"/>
    <x v="3"/>
    <x v="15"/>
    <x v="333"/>
    <x v="9"/>
    <x v="335"/>
    <x v="14"/>
    <x v="333"/>
    <x v="2"/>
  </r>
  <r>
    <x v="171"/>
    <x v="337"/>
    <x v="1"/>
    <x v="4"/>
    <x v="2"/>
    <x v="6"/>
    <x v="334"/>
    <x v="0"/>
    <x v="336"/>
    <x v="8"/>
    <x v="334"/>
    <x v="3"/>
  </r>
  <r>
    <x v="63"/>
    <x v="338"/>
    <x v="3"/>
    <x v="0"/>
    <x v="0"/>
    <x v="7"/>
    <x v="335"/>
    <x v="0"/>
    <x v="337"/>
    <x v="3"/>
    <x v="335"/>
    <x v="3"/>
  </r>
  <r>
    <x v="223"/>
    <x v="339"/>
    <x v="2"/>
    <x v="2"/>
    <x v="2"/>
    <x v="6"/>
    <x v="336"/>
    <x v="12"/>
    <x v="338"/>
    <x v="18"/>
    <x v="336"/>
    <x v="0"/>
  </r>
  <r>
    <x v="94"/>
    <x v="340"/>
    <x v="0"/>
    <x v="3"/>
    <x v="2"/>
    <x v="4"/>
    <x v="337"/>
    <x v="1"/>
    <x v="339"/>
    <x v="5"/>
    <x v="337"/>
    <x v="0"/>
  </r>
  <r>
    <x v="28"/>
    <x v="341"/>
    <x v="3"/>
    <x v="1"/>
    <x v="2"/>
    <x v="11"/>
    <x v="338"/>
    <x v="2"/>
    <x v="340"/>
    <x v="22"/>
    <x v="338"/>
    <x v="3"/>
  </r>
  <r>
    <x v="41"/>
    <x v="342"/>
    <x v="3"/>
    <x v="1"/>
    <x v="2"/>
    <x v="17"/>
    <x v="339"/>
    <x v="9"/>
    <x v="341"/>
    <x v="21"/>
    <x v="339"/>
    <x v="2"/>
  </r>
  <r>
    <x v="224"/>
    <x v="343"/>
    <x v="1"/>
    <x v="2"/>
    <x v="3"/>
    <x v="12"/>
    <x v="340"/>
    <x v="7"/>
    <x v="342"/>
    <x v="1"/>
    <x v="340"/>
    <x v="1"/>
  </r>
  <r>
    <x v="225"/>
    <x v="344"/>
    <x v="0"/>
    <x v="1"/>
    <x v="0"/>
    <x v="18"/>
    <x v="341"/>
    <x v="14"/>
    <x v="343"/>
    <x v="12"/>
    <x v="341"/>
    <x v="1"/>
  </r>
  <r>
    <x v="226"/>
    <x v="345"/>
    <x v="3"/>
    <x v="0"/>
    <x v="2"/>
    <x v="17"/>
    <x v="342"/>
    <x v="11"/>
    <x v="344"/>
    <x v="17"/>
    <x v="342"/>
    <x v="2"/>
  </r>
  <r>
    <x v="37"/>
    <x v="346"/>
    <x v="3"/>
    <x v="4"/>
    <x v="2"/>
    <x v="4"/>
    <x v="343"/>
    <x v="11"/>
    <x v="345"/>
    <x v="6"/>
    <x v="343"/>
    <x v="2"/>
  </r>
  <r>
    <x v="134"/>
    <x v="347"/>
    <x v="0"/>
    <x v="2"/>
    <x v="1"/>
    <x v="2"/>
    <x v="344"/>
    <x v="0"/>
    <x v="346"/>
    <x v="6"/>
    <x v="344"/>
    <x v="2"/>
  </r>
  <r>
    <x v="227"/>
    <x v="348"/>
    <x v="3"/>
    <x v="1"/>
    <x v="3"/>
    <x v="10"/>
    <x v="345"/>
    <x v="7"/>
    <x v="347"/>
    <x v="20"/>
    <x v="345"/>
    <x v="1"/>
  </r>
  <r>
    <x v="228"/>
    <x v="349"/>
    <x v="2"/>
    <x v="2"/>
    <x v="0"/>
    <x v="7"/>
    <x v="346"/>
    <x v="2"/>
    <x v="348"/>
    <x v="15"/>
    <x v="346"/>
    <x v="3"/>
  </r>
  <r>
    <x v="21"/>
    <x v="350"/>
    <x v="2"/>
    <x v="0"/>
    <x v="0"/>
    <x v="18"/>
    <x v="347"/>
    <x v="1"/>
    <x v="349"/>
    <x v="23"/>
    <x v="347"/>
    <x v="1"/>
  </r>
  <r>
    <x v="205"/>
    <x v="351"/>
    <x v="0"/>
    <x v="2"/>
    <x v="1"/>
    <x v="5"/>
    <x v="348"/>
    <x v="10"/>
    <x v="350"/>
    <x v="6"/>
    <x v="348"/>
    <x v="0"/>
  </r>
  <r>
    <x v="229"/>
    <x v="352"/>
    <x v="3"/>
    <x v="3"/>
    <x v="2"/>
    <x v="11"/>
    <x v="349"/>
    <x v="12"/>
    <x v="351"/>
    <x v="21"/>
    <x v="349"/>
    <x v="2"/>
  </r>
  <r>
    <x v="230"/>
    <x v="353"/>
    <x v="2"/>
    <x v="0"/>
    <x v="1"/>
    <x v="5"/>
    <x v="350"/>
    <x v="8"/>
    <x v="352"/>
    <x v="14"/>
    <x v="350"/>
    <x v="2"/>
  </r>
  <r>
    <x v="231"/>
    <x v="354"/>
    <x v="0"/>
    <x v="4"/>
    <x v="1"/>
    <x v="1"/>
    <x v="351"/>
    <x v="9"/>
    <x v="353"/>
    <x v="9"/>
    <x v="351"/>
    <x v="1"/>
  </r>
  <r>
    <x v="206"/>
    <x v="355"/>
    <x v="0"/>
    <x v="3"/>
    <x v="2"/>
    <x v="11"/>
    <x v="352"/>
    <x v="1"/>
    <x v="354"/>
    <x v="11"/>
    <x v="352"/>
    <x v="0"/>
  </r>
  <r>
    <x v="232"/>
    <x v="356"/>
    <x v="3"/>
    <x v="1"/>
    <x v="0"/>
    <x v="18"/>
    <x v="353"/>
    <x v="0"/>
    <x v="355"/>
    <x v="22"/>
    <x v="353"/>
    <x v="2"/>
  </r>
  <r>
    <x v="8"/>
    <x v="357"/>
    <x v="1"/>
    <x v="1"/>
    <x v="2"/>
    <x v="17"/>
    <x v="354"/>
    <x v="9"/>
    <x v="356"/>
    <x v="1"/>
    <x v="354"/>
    <x v="2"/>
  </r>
  <r>
    <x v="233"/>
    <x v="358"/>
    <x v="3"/>
    <x v="4"/>
    <x v="2"/>
    <x v="6"/>
    <x v="355"/>
    <x v="2"/>
    <x v="357"/>
    <x v="29"/>
    <x v="355"/>
    <x v="2"/>
  </r>
  <r>
    <x v="205"/>
    <x v="359"/>
    <x v="3"/>
    <x v="4"/>
    <x v="2"/>
    <x v="6"/>
    <x v="356"/>
    <x v="4"/>
    <x v="358"/>
    <x v="9"/>
    <x v="356"/>
    <x v="2"/>
  </r>
  <r>
    <x v="34"/>
    <x v="360"/>
    <x v="2"/>
    <x v="4"/>
    <x v="0"/>
    <x v="0"/>
    <x v="357"/>
    <x v="0"/>
    <x v="359"/>
    <x v="8"/>
    <x v="357"/>
    <x v="1"/>
  </r>
  <r>
    <x v="234"/>
    <x v="361"/>
    <x v="3"/>
    <x v="2"/>
    <x v="2"/>
    <x v="4"/>
    <x v="358"/>
    <x v="8"/>
    <x v="360"/>
    <x v="16"/>
    <x v="358"/>
    <x v="2"/>
  </r>
  <r>
    <x v="50"/>
    <x v="362"/>
    <x v="3"/>
    <x v="0"/>
    <x v="2"/>
    <x v="11"/>
    <x v="359"/>
    <x v="6"/>
    <x v="361"/>
    <x v="4"/>
    <x v="359"/>
    <x v="2"/>
  </r>
  <r>
    <x v="235"/>
    <x v="363"/>
    <x v="3"/>
    <x v="2"/>
    <x v="1"/>
    <x v="1"/>
    <x v="360"/>
    <x v="0"/>
    <x v="362"/>
    <x v="19"/>
    <x v="360"/>
    <x v="0"/>
  </r>
  <r>
    <x v="158"/>
    <x v="364"/>
    <x v="0"/>
    <x v="0"/>
    <x v="3"/>
    <x v="15"/>
    <x v="361"/>
    <x v="1"/>
    <x v="363"/>
    <x v="2"/>
    <x v="361"/>
    <x v="3"/>
  </r>
  <r>
    <x v="236"/>
    <x v="365"/>
    <x v="3"/>
    <x v="3"/>
    <x v="0"/>
    <x v="13"/>
    <x v="362"/>
    <x v="8"/>
    <x v="364"/>
    <x v="2"/>
    <x v="362"/>
    <x v="1"/>
  </r>
  <r>
    <x v="60"/>
    <x v="366"/>
    <x v="3"/>
    <x v="1"/>
    <x v="1"/>
    <x v="3"/>
    <x v="363"/>
    <x v="3"/>
    <x v="365"/>
    <x v="13"/>
    <x v="363"/>
    <x v="2"/>
  </r>
  <r>
    <x v="70"/>
    <x v="367"/>
    <x v="0"/>
    <x v="0"/>
    <x v="1"/>
    <x v="16"/>
    <x v="364"/>
    <x v="3"/>
    <x v="366"/>
    <x v="4"/>
    <x v="364"/>
    <x v="1"/>
  </r>
  <r>
    <x v="132"/>
    <x v="368"/>
    <x v="1"/>
    <x v="4"/>
    <x v="3"/>
    <x v="9"/>
    <x v="365"/>
    <x v="7"/>
    <x v="367"/>
    <x v="3"/>
    <x v="365"/>
    <x v="1"/>
  </r>
  <r>
    <x v="237"/>
    <x v="369"/>
    <x v="0"/>
    <x v="2"/>
    <x v="3"/>
    <x v="14"/>
    <x v="366"/>
    <x v="11"/>
    <x v="368"/>
    <x v="17"/>
    <x v="366"/>
    <x v="1"/>
  </r>
  <r>
    <x v="39"/>
    <x v="370"/>
    <x v="2"/>
    <x v="4"/>
    <x v="3"/>
    <x v="15"/>
    <x v="367"/>
    <x v="6"/>
    <x v="369"/>
    <x v="23"/>
    <x v="367"/>
    <x v="2"/>
  </r>
  <r>
    <x v="103"/>
    <x v="371"/>
    <x v="0"/>
    <x v="1"/>
    <x v="1"/>
    <x v="2"/>
    <x v="368"/>
    <x v="6"/>
    <x v="370"/>
    <x v="7"/>
    <x v="368"/>
    <x v="3"/>
  </r>
  <r>
    <x v="238"/>
    <x v="372"/>
    <x v="3"/>
    <x v="1"/>
    <x v="0"/>
    <x v="13"/>
    <x v="369"/>
    <x v="11"/>
    <x v="371"/>
    <x v="15"/>
    <x v="369"/>
    <x v="3"/>
  </r>
  <r>
    <x v="207"/>
    <x v="373"/>
    <x v="3"/>
    <x v="0"/>
    <x v="2"/>
    <x v="6"/>
    <x v="370"/>
    <x v="9"/>
    <x v="372"/>
    <x v="18"/>
    <x v="370"/>
    <x v="2"/>
  </r>
  <r>
    <x v="199"/>
    <x v="374"/>
    <x v="1"/>
    <x v="4"/>
    <x v="3"/>
    <x v="12"/>
    <x v="371"/>
    <x v="9"/>
    <x v="373"/>
    <x v="6"/>
    <x v="371"/>
    <x v="1"/>
  </r>
  <r>
    <x v="73"/>
    <x v="375"/>
    <x v="2"/>
    <x v="1"/>
    <x v="3"/>
    <x v="9"/>
    <x v="372"/>
    <x v="1"/>
    <x v="374"/>
    <x v="25"/>
    <x v="372"/>
    <x v="2"/>
  </r>
  <r>
    <x v="239"/>
    <x v="376"/>
    <x v="3"/>
    <x v="4"/>
    <x v="2"/>
    <x v="17"/>
    <x v="373"/>
    <x v="4"/>
    <x v="375"/>
    <x v="14"/>
    <x v="373"/>
    <x v="1"/>
  </r>
  <r>
    <x v="50"/>
    <x v="377"/>
    <x v="1"/>
    <x v="0"/>
    <x v="3"/>
    <x v="9"/>
    <x v="374"/>
    <x v="4"/>
    <x v="376"/>
    <x v="22"/>
    <x v="374"/>
    <x v="1"/>
  </r>
  <r>
    <x v="157"/>
    <x v="378"/>
    <x v="1"/>
    <x v="0"/>
    <x v="3"/>
    <x v="12"/>
    <x v="375"/>
    <x v="10"/>
    <x v="377"/>
    <x v="14"/>
    <x v="375"/>
    <x v="3"/>
  </r>
  <r>
    <x v="219"/>
    <x v="379"/>
    <x v="3"/>
    <x v="4"/>
    <x v="1"/>
    <x v="5"/>
    <x v="376"/>
    <x v="11"/>
    <x v="378"/>
    <x v="25"/>
    <x v="376"/>
    <x v="0"/>
  </r>
  <r>
    <x v="91"/>
    <x v="380"/>
    <x v="2"/>
    <x v="3"/>
    <x v="2"/>
    <x v="8"/>
    <x v="377"/>
    <x v="1"/>
    <x v="379"/>
    <x v="22"/>
    <x v="377"/>
    <x v="0"/>
  </r>
  <r>
    <x v="230"/>
    <x v="381"/>
    <x v="3"/>
    <x v="3"/>
    <x v="3"/>
    <x v="10"/>
    <x v="378"/>
    <x v="2"/>
    <x v="380"/>
    <x v="27"/>
    <x v="378"/>
    <x v="0"/>
  </r>
  <r>
    <x v="175"/>
    <x v="382"/>
    <x v="3"/>
    <x v="1"/>
    <x v="2"/>
    <x v="4"/>
    <x v="379"/>
    <x v="7"/>
    <x v="381"/>
    <x v="15"/>
    <x v="379"/>
    <x v="1"/>
  </r>
  <r>
    <x v="91"/>
    <x v="383"/>
    <x v="3"/>
    <x v="2"/>
    <x v="2"/>
    <x v="17"/>
    <x v="380"/>
    <x v="6"/>
    <x v="382"/>
    <x v="0"/>
    <x v="380"/>
    <x v="3"/>
  </r>
  <r>
    <x v="190"/>
    <x v="384"/>
    <x v="0"/>
    <x v="2"/>
    <x v="2"/>
    <x v="6"/>
    <x v="381"/>
    <x v="14"/>
    <x v="383"/>
    <x v="8"/>
    <x v="381"/>
    <x v="3"/>
  </r>
  <r>
    <x v="240"/>
    <x v="385"/>
    <x v="3"/>
    <x v="1"/>
    <x v="1"/>
    <x v="2"/>
    <x v="382"/>
    <x v="1"/>
    <x v="384"/>
    <x v="6"/>
    <x v="382"/>
    <x v="3"/>
  </r>
  <r>
    <x v="3"/>
    <x v="386"/>
    <x v="2"/>
    <x v="4"/>
    <x v="2"/>
    <x v="11"/>
    <x v="383"/>
    <x v="7"/>
    <x v="385"/>
    <x v="1"/>
    <x v="383"/>
    <x v="3"/>
  </r>
  <r>
    <x v="135"/>
    <x v="387"/>
    <x v="0"/>
    <x v="2"/>
    <x v="0"/>
    <x v="13"/>
    <x v="384"/>
    <x v="0"/>
    <x v="386"/>
    <x v="28"/>
    <x v="384"/>
    <x v="2"/>
  </r>
  <r>
    <x v="173"/>
    <x v="388"/>
    <x v="3"/>
    <x v="2"/>
    <x v="2"/>
    <x v="4"/>
    <x v="385"/>
    <x v="6"/>
    <x v="387"/>
    <x v="19"/>
    <x v="385"/>
    <x v="1"/>
  </r>
  <r>
    <x v="241"/>
    <x v="389"/>
    <x v="1"/>
    <x v="4"/>
    <x v="3"/>
    <x v="12"/>
    <x v="386"/>
    <x v="14"/>
    <x v="388"/>
    <x v="25"/>
    <x v="386"/>
    <x v="1"/>
  </r>
  <r>
    <x v="212"/>
    <x v="390"/>
    <x v="1"/>
    <x v="1"/>
    <x v="1"/>
    <x v="16"/>
    <x v="387"/>
    <x v="0"/>
    <x v="389"/>
    <x v="0"/>
    <x v="387"/>
    <x v="0"/>
  </r>
  <r>
    <x v="242"/>
    <x v="391"/>
    <x v="2"/>
    <x v="4"/>
    <x v="1"/>
    <x v="1"/>
    <x v="388"/>
    <x v="13"/>
    <x v="390"/>
    <x v="27"/>
    <x v="388"/>
    <x v="1"/>
  </r>
  <r>
    <x v="25"/>
    <x v="392"/>
    <x v="0"/>
    <x v="3"/>
    <x v="2"/>
    <x v="8"/>
    <x v="389"/>
    <x v="10"/>
    <x v="391"/>
    <x v="12"/>
    <x v="389"/>
    <x v="3"/>
  </r>
  <r>
    <x v="88"/>
    <x v="393"/>
    <x v="3"/>
    <x v="3"/>
    <x v="0"/>
    <x v="7"/>
    <x v="390"/>
    <x v="11"/>
    <x v="392"/>
    <x v="8"/>
    <x v="390"/>
    <x v="1"/>
  </r>
  <r>
    <x v="84"/>
    <x v="394"/>
    <x v="2"/>
    <x v="4"/>
    <x v="1"/>
    <x v="16"/>
    <x v="391"/>
    <x v="14"/>
    <x v="393"/>
    <x v="8"/>
    <x v="391"/>
    <x v="1"/>
  </r>
  <r>
    <x v="56"/>
    <x v="395"/>
    <x v="1"/>
    <x v="4"/>
    <x v="3"/>
    <x v="14"/>
    <x v="392"/>
    <x v="1"/>
    <x v="394"/>
    <x v="13"/>
    <x v="392"/>
    <x v="1"/>
  </r>
  <r>
    <x v="120"/>
    <x v="396"/>
    <x v="2"/>
    <x v="1"/>
    <x v="0"/>
    <x v="18"/>
    <x v="393"/>
    <x v="12"/>
    <x v="395"/>
    <x v="30"/>
    <x v="393"/>
    <x v="2"/>
  </r>
  <r>
    <x v="243"/>
    <x v="397"/>
    <x v="3"/>
    <x v="1"/>
    <x v="0"/>
    <x v="19"/>
    <x v="394"/>
    <x v="3"/>
    <x v="396"/>
    <x v="18"/>
    <x v="394"/>
    <x v="1"/>
  </r>
  <r>
    <x v="193"/>
    <x v="398"/>
    <x v="2"/>
    <x v="3"/>
    <x v="0"/>
    <x v="18"/>
    <x v="395"/>
    <x v="2"/>
    <x v="397"/>
    <x v="17"/>
    <x v="395"/>
    <x v="2"/>
  </r>
  <r>
    <x v="244"/>
    <x v="399"/>
    <x v="2"/>
    <x v="1"/>
    <x v="3"/>
    <x v="12"/>
    <x v="396"/>
    <x v="7"/>
    <x v="398"/>
    <x v="7"/>
    <x v="396"/>
    <x v="2"/>
  </r>
  <r>
    <x v="245"/>
    <x v="400"/>
    <x v="1"/>
    <x v="1"/>
    <x v="3"/>
    <x v="10"/>
    <x v="397"/>
    <x v="9"/>
    <x v="399"/>
    <x v="11"/>
    <x v="397"/>
    <x v="3"/>
  </r>
  <r>
    <x v="3"/>
    <x v="401"/>
    <x v="1"/>
    <x v="0"/>
    <x v="3"/>
    <x v="10"/>
    <x v="398"/>
    <x v="5"/>
    <x v="400"/>
    <x v="21"/>
    <x v="398"/>
    <x v="2"/>
  </r>
  <r>
    <x v="54"/>
    <x v="402"/>
    <x v="3"/>
    <x v="0"/>
    <x v="1"/>
    <x v="2"/>
    <x v="399"/>
    <x v="10"/>
    <x v="401"/>
    <x v="15"/>
    <x v="399"/>
    <x v="0"/>
  </r>
  <r>
    <x v="231"/>
    <x v="403"/>
    <x v="1"/>
    <x v="3"/>
    <x v="1"/>
    <x v="3"/>
    <x v="400"/>
    <x v="10"/>
    <x v="402"/>
    <x v="18"/>
    <x v="400"/>
    <x v="0"/>
  </r>
  <r>
    <x v="230"/>
    <x v="404"/>
    <x v="3"/>
    <x v="1"/>
    <x v="1"/>
    <x v="5"/>
    <x v="401"/>
    <x v="12"/>
    <x v="403"/>
    <x v="1"/>
    <x v="401"/>
    <x v="1"/>
  </r>
  <r>
    <x v="246"/>
    <x v="405"/>
    <x v="2"/>
    <x v="4"/>
    <x v="0"/>
    <x v="7"/>
    <x v="402"/>
    <x v="11"/>
    <x v="404"/>
    <x v="27"/>
    <x v="402"/>
    <x v="2"/>
  </r>
  <r>
    <x v="247"/>
    <x v="406"/>
    <x v="0"/>
    <x v="2"/>
    <x v="0"/>
    <x v="0"/>
    <x v="403"/>
    <x v="12"/>
    <x v="405"/>
    <x v="9"/>
    <x v="403"/>
    <x v="1"/>
  </r>
  <r>
    <x v="105"/>
    <x v="407"/>
    <x v="2"/>
    <x v="1"/>
    <x v="3"/>
    <x v="12"/>
    <x v="404"/>
    <x v="5"/>
    <x v="406"/>
    <x v="22"/>
    <x v="404"/>
    <x v="2"/>
  </r>
  <r>
    <x v="216"/>
    <x v="408"/>
    <x v="3"/>
    <x v="0"/>
    <x v="3"/>
    <x v="9"/>
    <x v="405"/>
    <x v="0"/>
    <x v="407"/>
    <x v="29"/>
    <x v="405"/>
    <x v="1"/>
  </r>
  <r>
    <x v="185"/>
    <x v="409"/>
    <x v="3"/>
    <x v="2"/>
    <x v="2"/>
    <x v="8"/>
    <x v="406"/>
    <x v="13"/>
    <x v="408"/>
    <x v="23"/>
    <x v="406"/>
    <x v="0"/>
  </r>
  <r>
    <x v="165"/>
    <x v="410"/>
    <x v="3"/>
    <x v="4"/>
    <x v="1"/>
    <x v="1"/>
    <x v="407"/>
    <x v="14"/>
    <x v="409"/>
    <x v="26"/>
    <x v="407"/>
    <x v="0"/>
  </r>
  <r>
    <x v="58"/>
    <x v="411"/>
    <x v="2"/>
    <x v="3"/>
    <x v="3"/>
    <x v="12"/>
    <x v="408"/>
    <x v="12"/>
    <x v="410"/>
    <x v="5"/>
    <x v="408"/>
    <x v="0"/>
  </r>
  <r>
    <x v="248"/>
    <x v="412"/>
    <x v="3"/>
    <x v="0"/>
    <x v="3"/>
    <x v="12"/>
    <x v="409"/>
    <x v="9"/>
    <x v="411"/>
    <x v="13"/>
    <x v="409"/>
    <x v="0"/>
  </r>
  <r>
    <x v="166"/>
    <x v="413"/>
    <x v="3"/>
    <x v="4"/>
    <x v="3"/>
    <x v="10"/>
    <x v="410"/>
    <x v="6"/>
    <x v="412"/>
    <x v="17"/>
    <x v="410"/>
    <x v="0"/>
  </r>
  <r>
    <x v="4"/>
    <x v="414"/>
    <x v="2"/>
    <x v="1"/>
    <x v="3"/>
    <x v="14"/>
    <x v="411"/>
    <x v="6"/>
    <x v="413"/>
    <x v="29"/>
    <x v="411"/>
    <x v="1"/>
  </r>
  <r>
    <x v="188"/>
    <x v="415"/>
    <x v="1"/>
    <x v="4"/>
    <x v="1"/>
    <x v="1"/>
    <x v="412"/>
    <x v="3"/>
    <x v="414"/>
    <x v="7"/>
    <x v="412"/>
    <x v="0"/>
  </r>
  <r>
    <x v="117"/>
    <x v="416"/>
    <x v="0"/>
    <x v="1"/>
    <x v="2"/>
    <x v="6"/>
    <x v="413"/>
    <x v="9"/>
    <x v="415"/>
    <x v="18"/>
    <x v="413"/>
    <x v="3"/>
  </r>
  <r>
    <x v="249"/>
    <x v="417"/>
    <x v="2"/>
    <x v="4"/>
    <x v="0"/>
    <x v="19"/>
    <x v="414"/>
    <x v="1"/>
    <x v="416"/>
    <x v="24"/>
    <x v="414"/>
    <x v="0"/>
  </r>
  <r>
    <x v="250"/>
    <x v="418"/>
    <x v="2"/>
    <x v="4"/>
    <x v="0"/>
    <x v="0"/>
    <x v="415"/>
    <x v="13"/>
    <x v="417"/>
    <x v="1"/>
    <x v="415"/>
    <x v="3"/>
  </r>
  <r>
    <x v="160"/>
    <x v="419"/>
    <x v="2"/>
    <x v="2"/>
    <x v="0"/>
    <x v="0"/>
    <x v="416"/>
    <x v="8"/>
    <x v="418"/>
    <x v="17"/>
    <x v="416"/>
    <x v="2"/>
  </r>
  <r>
    <x v="180"/>
    <x v="420"/>
    <x v="0"/>
    <x v="1"/>
    <x v="1"/>
    <x v="5"/>
    <x v="417"/>
    <x v="8"/>
    <x v="419"/>
    <x v="11"/>
    <x v="417"/>
    <x v="2"/>
  </r>
  <r>
    <x v="189"/>
    <x v="421"/>
    <x v="2"/>
    <x v="2"/>
    <x v="0"/>
    <x v="19"/>
    <x v="418"/>
    <x v="8"/>
    <x v="420"/>
    <x v="19"/>
    <x v="418"/>
    <x v="2"/>
  </r>
  <r>
    <x v="251"/>
    <x v="422"/>
    <x v="2"/>
    <x v="3"/>
    <x v="2"/>
    <x v="6"/>
    <x v="419"/>
    <x v="7"/>
    <x v="421"/>
    <x v="2"/>
    <x v="419"/>
    <x v="0"/>
  </r>
  <r>
    <x v="252"/>
    <x v="423"/>
    <x v="1"/>
    <x v="4"/>
    <x v="1"/>
    <x v="2"/>
    <x v="420"/>
    <x v="8"/>
    <x v="422"/>
    <x v="17"/>
    <x v="420"/>
    <x v="3"/>
  </r>
  <r>
    <x v="142"/>
    <x v="424"/>
    <x v="0"/>
    <x v="4"/>
    <x v="2"/>
    <x v="4"/>
    <x v="421"/>
    <x v="6"/>
    <x v="423"/>
    <x v="27"/>
    <x v="421"/>
    <x v="1"/>
  </r>
  <r>
    <x v="132"/>
    <x v="425"/>
    <x v="3"/>
    <x v="1"/>
    <x v="1"/>
    <x v="3"/>
    <x v="422"/>
    <x v="14"/>
    <x v="424"/>
    <x v="18"/>
    <x v="422"/>
    <x v="2"/>
  </r>
  <r>
    <x v="253"/>
    <x v="426"/>
    <x v="2"/>
    <x v="2"/>
    <x v="0"/>
    <x v="18"/>
    <x v="423"/>
    <x v="4"/>
    <x v="425"/>
    <x v="29"/>
    <x v="423"/>
    <x v="1"/>
  </r>
  <r>
    <x v="178"/>
    <x v="427"/>
    <x v="3"/>
    <x v="0"/>
    <x v="1"/>
    <x v="5"/>
    <x v="424"/>
    <x v="9"/>
    <x v="426"/>
    <x v="21"/>
    <x v="424"/>
    <x v="0"/>
  </r>
  <r>
    <x v="254"/>
    <x v="428"/>
    <x v="0"/>
    <x v="0"/>
    <x v="1"/>
    <x v="3"/>
    <x v="425"/>
    <x v="9"/>
    <x v="427"/>
    <x v="14"/>
    <x v="425"/>
    <x v="2"/>
  </r>
  <r>
    <x v="255"/>
    <x v="429"/>
    <x v="3"/>
    <x v="0"/>
    <x v="1"/>
    <x v="16"/>
    <x v="426"/>
    <x v="11"/>
    <x v="428"/>
    <x v="7"/>
    <x v="426"/>
    <x v="0"/>
  </r>
  <r>
    <x v="256"/>
    <x v="430"/>
    <x v="2"/>
    <x v="2"/>
    <x v="1"/>
    <x v="1"/>
    <x v="427"/>
    <x v="4"/>
    <x v="429"/>
    <x v="28"/>
    <x v="427"/>
    <x v="0"/>
  </r>
  <r>
    <x v="164"/>
    <x v="431"/>
    <x v="1"/>
    <x v="0"/>
    <x v="3"/>
    <x v="10"/>
    <x v="428"/>
    <x v="5"/>
    <x v="430"/>
    <x v="17"/>
    <x v="428"/>
    <x v="0"/>
  </r>
  <r>
    <x v="257"/>
    <x v="432"/>
    <x v="2"/>
    <x v="0"/>
    <x v="0"/>
    <x v="13"/>
    <x v="429"/>
    <x v="5"/>
    <x v="431"/>
    <x v="18"/>
    <x v="429"/>
    <x v="0"/>
  </r>
  <r>
    <x v="57"/>
    <x v="433"/>
    <x v="0"/>
    <x v="4"/>
    <x v="0"/>
    <x v="18"/>
    <x v="430"/>
    <x v="1"/>
    <x v="432"/>
    <x v="4"/>
    <x v="430"/>
    <x v="2"/>
  </r>
  <r>
    <x v="143"/>
    <x v="434"/>
    <x v="0"/>
    <x v="0"/>
    <x v="1"/>
    <x v="16"/>
    <x v="431"/>
    <x v="4"/>
    <x v="433"/>
    <x v="27"/>
    <x v="431"/>
    <x v="0"/>
  </r>
  <r>
    <x v="129"/>
    <x v="435"/>
    <x v="0"/>
    <x v="1"/>
    <x v="3"/>
    <x v="14"/>
    <x v="432"/>
    <x v="8"/>
    <x v="434"/>
    <x v="28"/>
    <x v="432"/>
    <x v="0"/>
  </r>
  <r>
    <x v="258"/>
    <x v="436"/>
    <x v="3"/>
    <x v="2"/>
    <x v="1"/>
    <x v="1"/>
    <x v="433"/>
    <x v="6"/>
    <x v="435"/>
    <x v="23"/>
    <x v="433"/>
    <x v="3"/>
  </r>
  <r>
    <x v="259"/>
    <x v="437"/>
    <x v="2"/>
    <x v="4"/>
    <x v="2"/>
    <x v="11"/>
    <x v="434"/>
    <x v="11"/>
    <x v="436"/>
    <x v="14"/>
    <x v="434"/>
    <x v="1"/>
  </r>
  <r>
    <x v="36"/>
    <x v="438"/>
    <x v="3"/>
    <x v="0"/>
    <x v="2"/>
    <x v="11"/>
    <x v="435"/>
    <x v="9"/>
    <x v="437"/>
    <x v="18"/>
    <x v="435"/>
    <x v="2"/>
  </r>
  <r>
    <x v="260"/>
    <x v="439"/>
    <x v="0"/>
    <x v="2"/>
    <x v="1"/>
    <x v="2"/>
    <x v="436"/>
    <x v="9"/>
    <x v="438"/>
    <x v="11"/>
    <x v="436"/>
    <x v="0"/>
  </r>
  <r>
    <x v="134"/>
    <x v="440"/>
    <x v="2"/>
    <x v="0"/>
    <x v="3"/>
    <x v="15"/>
    <x v="437"/>
    <x v="4"/>
    <x v="439"/>
    <x v="11"/>
    <x v="437"/>
    <x v="2"/>
  </r>
  <r>
    <x v="261"/>
    <x v="441"/>
    <x v="0"/>
    <x v="0"/>
    <x v="3"/>
    <x v="12"/>
    <x v="438"/>
    <x v="3"/>
    <x v="440"/>
    <x v="15"/>
    <x v="438"/>
    <x v="0"/>
  </r>
  <r>
    <x v="24"/>
    <x v="442"/>
    <x v="0"/>
    <x v="4"/>
    <x v="3"/>
    <x v="10"/>
    <x v="439"/>
    <x v="5"/>
    <x v="441"/>
    <x v="5"/>
    <x v="439"/>
    <x v="3"/>
  </r>
  <r>
    <x v="262"/>
    <x v="443"/>
    <x v="3"/>
    <x v="4"/>
    <x v="3"/>
    <x v="15"/>
    <x v="440"/>
    <x v="9"/>
    <x v="442"/>
    <x v="27"/>
    <x v="440"/>
    <x v="2"/>
  </r>
  <r>
    <x v="105"/>
    <x v="444"/>
    <x v="0"/>
    <x v="1"/>
    <x v="0"/>
    <x v="13"/>
    <x v="441"/>
    <x v="13"/>
    <x v="443"/>
    <x v="0"/>
    <x v="441"/>
    <x v="1"/>
  </r>
  <r>
    <x v="174"/>
    <x v="445"/>
    <x v="1"/>
    <x v="2"/>
    <x v="0"/>
    <x v="0"/>
    <x v="442"/>
    <x v="11"/>
    <x v="444"/>
    <x v="5"/>
    <x v="442"/>
    <x v="1"/>
  </r>
  <r>
    <x v="63"/>
    <x v="446"/>
    <x v="0"/>
    <x v="0"/>
    <x v="1"/>
    <x v="1"/>
    <x v="443"/>
    <x v="6"/>
    <x v="445"/>
    <x v="4"/>
    <x v="443"/>
    <x v="0"/>
  </r>
  <r>
    <x v="47"/>
    <x v="447"/>
    <x v="2"/>
    <x v="0"/>
    <x v="3"/>
    <x v="15"/>
    <x v="444"/>
    <x v="11"/>
    <x v="446"/>
    <x v="12"/>
    <x v="444"/>
    <x v="3"/>
  </r>
  <r>
    <x v="161"/>
    <x v="448"/>
    <x v="2"/>
    <x v="3"/>
    <x v="0"/>
    <x v="19"/>
    <x v="445"/>
    <x v="9"/>
    <x v="447"/>
    <x v="0"/>
    <x v="445"/>
    <x v="2"/>
  </r>
  <r>
    <x v="124"/>
    <x v="449"/>
    <x v="1"/>
    <x v="0"/>
    <x v="0"/>
    <x v="13"/>
    <x v="446"/>
    <x v="11"/>
    <x v="448"/>
    <x v="8"/>
    <x v="446"/>
    <x v="1"/>
  </r>
  <r>
    <x v="254"/>
    <x v="450"/>
    <x v="0"/>
    <x v="0"/>
    <x v="3"/>
    <x v="9"/>
    <x v="447"/>
    <x v="5"/>
    <x v="449"/>
    <x v="16"/>
    <x v="447"/>
    <x v="3"/>
  </r>
  <r>
    <x v="249"/>
    <x v="451"/>
    <x v="2"/>
    <x v="4"/>
    <x v="1"/>
    <x v="5"/>
    <x v="448"/>
    <x v="3"/>
    <x v="450"/>
    <x v="12"/>
    <x v="448"/>
    <x v="0"/>
  </r>
  <r>
    <x v="155"/>
    <x v="452"/>
    <x v="1"/>
    <x v="4"/>
    <x v="1"/>
    <x v="16"/>
    <x v="449"/>
    <x v="2"/>
    <x v="451"/>
    <x v="23"/>
    <x v="449"/>
    <x v="1"/>
  </r>
  <r>
    <x v="109"/>
    <x v="453"/>
    <x v="1"/>
    <x v="1"/>
    <x v="3"/>
    <x v="9"/>
    <x v="450"/>
    <x v="0"/>
    <x v="452"/>
    <x v="8"/>
    <x v="450"/>
    <x v="2"/>
  </r>
  <r>
    <x v="225"/>
    <x v="454"/>
    <x v="3"/>
    <x v="0"/>
    <x v="1"/>
    <x v="1"/>
    <x v="451"/>
    <x v="3"/>
    <x v="453"/>
    <x v="26"/>
    <x v="451"/>
    <x v="2"/>
  </r>
  <r>
    <x v="263"/>
    <x v="455"/>
    <x v="2"/>
    <x v="3"/>
    <x v="3"/>
    <x v="10"/>
    <x v="452"/>
    <x v="6"/>
    <x v="454"/>
    <x v="2"/>
    <x v="452"/>
    <x v="2"/>
  </r>
  <r>
    <x v="131"/>
    <x v="456"/>
    <x v="0"/>
    <x v="2"/>
    <x v="1"/>
    <x v="16"/>
    <x v="453"/>
    <x v="2"/>
    <x v="455"/>
    <x v="18"/>
    <x v="453"/>
    <x v="2"/>
  </r>
  <r>
    <x v="148"/>
    <x v="457"/>
    <x v="3"/>
    <x v="1"/>
    <x v="3"/>
    <x v="10"/>
    <x v="454"/>
    <x v="1"/>
    <x v="456"/>
    <x v="28"/>
    <x v="454"/>
    <x v="1"/>
  </r>
  <r>
    <x v="264"/>
    <x v="458"/>
    <x v="2"/>
    <x v="4"/>
    <x v="3"/>
    <x v="10"/>
    <x v="455"/>
    <x v="14"/>
    <x v="457"/>
    <x v="24"/>
    <x v="455"/>
    <x v="1"/>
  </r>
  <r>
    <x v="265"/>
    <x v="459"/>
    <x v="3"/>
    <x v="2"/>
    <x v="0"/>
    <x v="13"/>
    <x v="456"/>
    <x v="3"/>
    <x v="458"/>
    <x v="10"/>
    <x v="456"/>
    <x v="3"/>
  </r>
  <r>
    <x v="205"/>
    <x v="460"/>
    <x v="2"/>
    <x v="2"/>
    <x v="0"/>
    <x v="18"/>
    <x v="457"/>
    <x v="4"/>
    <x v="459"/>
    <x v="27"/>
    <x v="457"/>
    <x v="0"/>
  </r>
  <r>
    <x v="35"/>
    <x v="461"/>
    <x v="3"/>
    <x v="3"/>
    <x v="3"/>
    <x v="14"/>
    <x v="458"/>
    <x v="14"/>
    <x v="460"/>
    <x v="12"/>
    <x v="458"/>
    <x v="2"/>
  </r>
  <r>
    <x v="93"/>
    <x v="462"/>
    <x v="0"/>
    <x v="0"/>
    <x v="1"/>
    <x v="2"/>
    <x v="459"/>
    <x v="10"/>
    <x v="461"/>
    <x v="0"/>
    <x v="459"/>
    <x v="1"/>
  </r>
  <r>
    <x v="179"/>
    <x v="463"/>
    <x v="2"/>
    <x v="0"/>
    <x v="3"/>
    <x v="12"/>
    <x v="460"/>
    <x v="13"/>
    <x v="462"/>
    <x v="10"/>
    <x v="460"/>
    <x v="0"/>
  </r>
  <r>
    <x v="33"/>
    <x v="464"/>
    <x v="1"/>
    <x v="2"/>
    <x v="2"/>
    <x v="6"/>
    <x v="461"/>
    <x v="0"/>
    <x v="463"/>
    <x v="0"/>
    <x v="461"/>
    <x v="2"/>
  </r>
  <r>
    <x v="138"/>
    <x v="465"/>
    <x v="3"/>
    <x v="0"/>
    <x v="0"/>
    <x v="0"/>
    <x v="462"/>
    <x v="14"/>
    <x v="464"/>
    <x v="16"/>
    <x v="462"/>
    <x v="3"/>
  </r>
  <r>
    <x v="265"/>
    <x v="466"/>
    <x v="1"/>
    <x v="3"/>
    <x v="2"/>
    <x v="6"/>
    <x v="463"/>
    <x v="13"/>
    <x v="465"/>
    <x v="16"/>
    <x v="463"/>
    <x v="3"/>
  </r>
  <r>
    <x v="145"/>
    <x v="467"/>
    <x v="3"/>
    <x v="4"/>
    <x v="3"/>
    <x v="14"/>
    <x v="464"/>
    <x v="9"/>
    <x v="466"/>
    <x v="5"/>
    <x v="464"/>
    <x v="3"/>
  </r>
  <r>
    <x v="266"/>
    <x v="468"/>
    <x v="2"/>
    <x v="1"/>
    <x v="0"/>
    <x v="13"/>
    <x v="465"/>
    <x v="0"/>
    <x v="467"/>
    <x v="6"/>
    <x v="465"/>
    <x v="3"/>
  </r>
  <r>
    <x v="70"/>
    <x v="469"/>
    <x v="0"/>
    <x v="3"/>
    <x v="2"/>
    <x v="17"/>
    <x v="466"/>
    <x v="12"/>
    <x v="468"/>
    <x v="23"/>
    <x v="466"/>
    <x v="1"/>
  </r>
  <r>
    <x v="249"/>
    <x v="470"/>
    <x v="2"/>
    <x v="4"/>
    <x v="2"/>
    <x v="4"/>
    <x v="467"/>
    <x v="10"/>
    <x v="469"/>
    <x v="17"/>
    <x v="467"/>
    <x v="1"/>
  </r>
  <r>
    <x v="267"/>
    <x v="471"/>
    <x v="2"/>
    <x v="4"/>
    <x v="0"/>
    <x v="13"/>
    <x v="468"/>
    <x v="3"/>
    <x v="470"/>
    <x v="0"/>
    <x v="468"/>
    <x v="3"/>
  </r>
  <r>
    <x v="37"/>
    <x v="472"/>
    <x v="1"/>
    <x v="4"/>
    <x v="0"/>
    <x v="18"/>
    <x v="469"/>
    <x v="6"/>
    <x v="471"/>
    <x v="15"/>
    <x v="469"/>
    <x v="3"/>
  </r>
  <r>
    <x v="222"/>
    <x v="473"/>
    <x v="3"/>
    <x v="3"/>
    <x v="3"/>
    <x v="10"/>
    <x v="470"/>
    <x v="4"/>
    <x v="472"/>
    <x v="24"/>
    <x v="470"/>
    <x v="1"/>
  </r>
  <r>
    <x v="47"/>
    <x v="474"/>
    <x v="0"/>
    <x v="4"/>
    <x v="2"/>
    <x v="6"/>
    <x v="471"/>
    <x v="5"/>
    <x v="473"/>
    <x v="25"/>
    <x v="471"/>
    <x v="3"/>
  </r>
  <r>
    <x v="268"/>
    <x v="475"/>
    <x v="1"/>
    <x v="3"/>
    <x v="0"/>
    <x v="0"/>
    <x v="472"/>
    <x v="11"/>
    <x v="474"/>
    <x v="8"/>
    <x v="472"/>
    <x v="1"/>
  </r>
  <r>
    <x v="269"/>
    <x v="476"/>
    <x v="3"/>
    <x v="4"/>
    <x v="3"/>
    <x v="15"/>
    <x v="473"/>
    <x v="11"/>
    <x v="475"/>
    <x v="29"/>
    <x v="473"/>
    <x v="0"/>
  </r>
  <r>
    <x v="270"/>
    <x v="477"/>
    <x v="0"/>
    <x v="2"/>
    <x v="0"/>
    <x v="19"/>
    <x v="474"/>
    <x v="8"/>
    <x v="476"/>
    <x v="17"/>
    <x v="474"/>
    <x v="2"/>
  </r>
  <r>
    <x v="248"/>
    <x v="478"/>
    <x v="2"/>
    <x v="4"/>
    <x v="2"/>
    <x v="11"/>
    <x v="475"/>
    <x v="0"/>
    <x v="477"/>
    <x v="14"/>
    <x v="475"/>
    <x v="1"/>
  </r>
  <r>
    <x v="271"/>
    <x v="479"/>
    <x v="1"/>
    <x v="1"/>
    <x v="1"/>
    <x v="1"/>
    <x v="476"/>
    <x v="5"/>
    <x v="478"/>
    <x v="12"/>
    <x v="476"/>
    <x v="1"/>
  </r>
  <r>
    <x v="8"/>
    <x v="480"/>
    <x v="0"/>
    <x v="1"/>
    <x v="2"/>
    <x v="11"/>
    <x v="477"/>
    <x v="0"/>
    <x v="479"/>
    <x v="13"/>
    <x v="477"/>
    <x v="1"/>
  </r>
  <r>
    <x v="182"/>
    <x v="481"/>
    <x v="1"/>
    <x v="1"/>
    <x v="2"/>
    <x v="4"/>
    <x v="478"/>
    <x v="13"/>
    <x v="480"/>
    <x v="1"/>
    <x v="478"/>
    <x v="3"/>
  </r>
  <r>
    <x v="272"/>
    <x v="482"/>
    <x v="0"/>
    <x v="2"/>
    <x v="3"/>
    <x v="10"/>
    <x v="479"/>
    <x v="10"/>
    <x v="481"/>
    <x v="26"/>
    <x v="479"/>
    <x v="0"/>
  </r>
  <r>
    <x v="20"/>
    <x v="483"/>
    <x v="2"/>
    <x v="0"/>
    <x v="2"/>
    <x v="17"/>
    <x v="480"/>
    <x v="2"/>
    <x v="482"/>
    <x v="1"/>
    <x v="480"/>
    <x v="0"/>
  </r>
  <r>
    <x v="232"/>
    <x v="484"/>
    <x v="3"/>
    <x v="0"/>
    <x v="0"/>
    <x v="0"/>
    <x v="481"/>
    <x v="1"/>
    <x v="483"/>
    <x v="2"/>
    <x v="481"/>
    <x v="2"/>
  </r>
  <r>
    <x v="112"/>
    <x v="485"/>
    <x v="1"/>
    <x v="1"/>
    <x v="3"/>
    <x v="10"/>
    <x v="482"/>
    <x v="10"/>
    <x v="484"/>
    <x v="22"/>
    <x v="482"/>
    <x v="1"/>
  </r>
  <r>
    <x v="273"/>
    <x v="486"/>
    <x v="3"/>
    <x v="4"/>
    <x v="1"/>
    <x v="3"/>
    <x v="483"/>
    <x v="12"/>
    <x v="485"/>
    <x v="10"/>
    <x v="483"/>
    <x v="2"/>
  </r>
  <r>
    <x v="128"/>
    <x v="487"/>
    <x v="1"/>
    <x v="2"/>
    <x v="3"/>
    <x v="9"/>
    <x v="484"/>
    <x v="10"/>
    <x v="486"/>
    <x v="2"/>
    <x v="484"/>
    <x v="0"/>
  </r>
  <r>
    <x v="274"/>
    <x v="488"/>
    <x v="3"/>
    <x v="4"/>
    <x v="0"/>
    <x v="0"/>
    <x v="485"/>
    <x v="8"/>
    <x v="487"/>
    <x v="14"/>
    <x v="485"/>
    <x v="0"/>
  </r>
  <r>
    <x v="275"/>
    <x v="489"/>
    <x v="3"/>
    <x v="1"/>
    <x v="0"/>
    <x v="13"/>
    <x v="486"/>
    <x v="2"/>
    <x v="488"/>
    <x v="0"/>
    <x v="486"/>
    <x v="0"/>
  </r>
  <r>
    <x v="127"/>
    <x v="490"/>
    <x v="1"/>
    <x v="1"/>
    <x v="1"/>
    <x v="5"/>
    <x v="487"/>
    <x v="4"/>
    <x v="489"/>
    <x v="20"/>
    <x v="487"/>
    <x v="3"/>
  </r>
  <r>
    <x v="276"/>
    <x v="491"/>
    <x v="2"/>
    <x v="3"/>
    <x v="3"/>
    <x v="10"/>
    <x v="488"/>
    <x v="0"/>
    <x v="490"/>
    <x v="25"/>
    <x v="488"/>
    <x v="2"/>
  </r>
  <r>
    <x v="186"/>
    <x v="492"/>
    <x v="3"/>
    <x v="3"/>
    <x v="2"/>
    <x v="4"/>
    <x v="489"/>
    <x v="8"/>
    <x v="491"/>
    <x v="9"/>
    <x v="489"/>
    <x v="3"/>
  </r>
  <r>
    <x v="160"/>
    <x v="493"/>
    <x v="1"/>
    <x v="3"/>
    <x v="2"/>
    <x v="4"/>
    <x v="490"/>
    <x v="3"/>
    <x v="492"/>
    <x v="0"/>
    <x v="490"/>
    <x v="0"/>
  </r>
  <r>
    <x v="236"/>
    <x v="494"/>
    <x v="2"/>
    <x v="4"/>
    <x v="3"/>
    <x v="10"/>
    <x v="491"/>
    <x v="0"/>
    <x v="493"/>
    <x v="18"/>
    <x v="491"/>
    <x v="0"/>
  </r>
  <r>
    <x v="276"/>
    <x v="495"/>
    <x v="0"/>
    <x v="0"/>
    <x v="3"/>
    <x v="14"/>
    <x v="492"/>
    <x v="11"/>
    <x v="494"/>
    <x v="30"/>
    <x v="492"/>
    <x v="1"/>
  </r>
  <r>
    <x v="180"/>
    <x v="496"/>
    <x v="1"/>
    <x v="3"/>
    <x v="3"/>
    <x v="15"/>
    <x v="493"/>
    <x v="13"/>
    <x v="495"/>
    <x v="14"/>
    <x v="493"/>
    <x v="3"/>
  </r>
  <r>
    <x v="227"/>
    <x v="497"/>
    <x v="2"/>
    <x v="4"/>
    <x v="2"/>
    <x v="8"/>
    <x v="494"/>
    <x v="8"/>
    <x v="496"/>
    <x v="14"/>
    <x v="494"/>
    <x v="2"/>
  </r>
  <r>
    <x v="57"/>
    <x v="498"/>
    <x v="2"/>
    <x v="1"/>
    <x v="1"/>
    <x v="1"/>
    <x v="495"/>
    <x v="10"/>
    <x v="497"/>
    <x v="29"/>
    <x v="495"/>
    <x v="3"/>
  </r>
  <r>
    <x v="124"/>
    <x v="499"/>
    <x v="1"/>
    <x v="3"/>
    <x v="1"/>
    <x v="5"/>
    <x v="496"/>
    <x v="3"/>
    <x v="498"/>
    <x v="28"/>
    <x v="496"/>
    <x v="2"/>
  </r>
  <r>
    <x v="31"/>
    <x v="500"/>
    <x v="0"/>
    <x v="0"/>
    <x v="1"/>
    <x v="2"/>
    <x v="497"/>
    <x v="14"/>
    <x v="499"/>
    <x v="15"/>
    <x v="497"/>
    <x v="1"/>
  </r>
  <r>
    <x v="222"/>
    <x v="501"/>
    <x v="0"/>
    <x v="0"/>
    <x v="3"/>
    <x v="14"/>
    <x v="498"/>
    <x v="11"/>
    <x v="500"/>
    <x v="5"/>
    <x v="498"/>
    <x v="3"/>
  </r>
  <r>
    <x v="119"/>
    <x v="502"/>
    <x v="2"/>
    <x v="1"/>
    <x v="0"/>
    <x v="7"/>
    <x v="499"/>
    <x v="1"/>
    <x v="501"/>
    <x v="17"/>
    <x v="499"/>
    <x v="2"/>
  </r>
  <r>
    <x v="74"/>
    <x v="503"/>
    <x v="1"/>
    <x v="3"/>
    <x v="2"/>
    <x v="6"/>
    <x v="500"/>
    <x v="6"/>
    <x v="502"/>
    <x v="2"/>
    <x v="500"/>
    <x v="0"/>
  </r>
  <r>
    <x v="277"/>
    <x v="504"/>
    <x v="1"/>
    <x v="2"/>
    <x v="1"/>
    <x v="1"/>
    <x v="501"/>
    <x v="1"/>
    <x v="503"/>
    <x v="22"/>
    <x v="501"/>
    <x v="3"/>
  </r>
  <r>
    <x v="278"/>
    <x v="505"/>
    <x v="1"/>
    <x v="3"/>
    <x v="1"/>
    <x v="2"/>
    <x v="502"/>
    <x v="12"/>
    <x v="504"/>
    <x v="27"/>
    <x v="502"/>
    <x v="0"/>
  </r>
  <r>
    <x v="143"/>
    <x v="506"/>
    <x v="3"/>
    <x v="4"/>
    <x v="1"/>
    <x v="16"/>
    <x v="503"/>
    <x v="12"/>
    <x v="505"/>
    <x v="8"/>
    <x v="503"/>
    <x v="2"/>
  </r>
  <r>
    <x v="183"/>
    <x v="507"/>
    <x v="0"/>
    <x v="0"/>
    <x v="2"/>
    <x v="6"/>
    <x v="504"/>
    <x v="1"/>
    <x v="506"/>
    <x v="30"/>
    <x v="504"/>
    <x v="1"/>
  </r>
  <r>
    <x v="271"/>
    <x v="508"/>
    <x v="0"/>
    <x v="1"/>
    <x v="1"/>
    <x v="16"/>
    <x v="505"/>
    <x v="12"/>
    <x v="507"/>
    <x v="4"/>
    <x v="505"/>
    <x v="2"/>
  </r>
  <r>
    <x v="97"/>
    <x v="509"/>
    <x v="1"/>
    <x v="1"/>
    <x v="3"/>
    <x v="9"/>
    <x v="506"/>
    <x v="8"/>
    <x v="508"/>
    <x v="7"/>
    <x v="506"/>
    <x v="0"/>
  </r>
  <r>
    <x v="63"/>
    <x v="510"/>
    <x v="1"/>
    <x v="0"/>
    <x v="0"/>
    <x v="7"/>
    <x v="507"/>
    <x v="14"/>
    <x v="509"/>
    <x v="11"/>
    <x v="507"/>
    <x v="3"/>
  </r>
  <r>
    <x v="279"/>
    <x v="511"/>
    <x v="3"/>
    <x v="2"/>
    <x v="3"/>
    <x v="9"/>
    <x v="508"/>
    <x v="10"/>
    <x v="510"/>
    <x v="26"/>
    <x v="508"/>
    <x v="1"/>
  </r>
  <r>
    <x v="34"/>
    <x v="512"/>
    <x v="2"/>
    <x v="3"/>
    <x v="0"/>
    <x v="18"/>
    <x v="509"/>
    <x v="9"/>
    <x v="511"/>
    <x v="24"/>
    <x v="509"/>
    <x v="0"/>
  </r>
  <r>
    <x v="280"/>
    <x v="513"/>
    <x v="2"/>
    <x v="1"/>
    <x v="1"/>
    <x v="16"/>
    <x v="510"/>
    <x v="5"/>
    <x v="512"/>
    <x v="21"/>
    <x v="510"/>
    <x v="3"/>
  </r>
  <r>
    <x v="118"/>
    <x v="514"/>
    <x v="3"/>
    <x v="0"/>
    <x v="3"/>
    <x v="14"/>
    <x v="511"/>
    <x v="7"/>
    <x v="513"/>
    <x v="8"/>
    <x v="511"/>
    <x v="3"/>
  </r>
  <r>
    <x v="160"/>
    <x v="515"/>
    <x v="0"/>
    <x v="0"/>
    <x v="1"/>
    <x v="1"/>
    <x v="512"/>
    <x v="4"/>
    <x v="514"/>
    <x v="16"/>
    <x v="512"/>
    <x v="0"/>
  </r>
  <r>
    <x v="171"/>
    <x v="516"/>
    <x v="3"/>
    <x v="4"/>
    <x v="0"/>
    <x v="19"/>
    <x v="513"/>
    <x v="2"/>
    <x v="515"/>
    <x v="2"/>
    <x v="513"/>
    <x v="2"/>
  </r>
  <r>
    <x v="131"/>
    <x v="517"/>
    <x v="3"/>
    <x v="3"/>
    <x v="2"/>
    <x v="11"/>
    <x v="514"/>
    <x v="0"/>
    <x v="516"/>
    <x v="9"/>
    <x v="514"/>
    <x v="3"/>
  </r>
  <r>
    <x v="281"/>
    <x v="518"/>
    <x v="0"/>
    <x v="3"/>
    <x v="2"/>
    <x v="17"/>
    <x v="515"/>
    <x v="10"/>
    <x v="517"/>
    <x v="18"/>
    <x v="515"/>
    <x v="0"/>
  </r>
  <r>
    <x v="82"/>
    <x v="519"/>
    <x v="2"/>
    <x v="0"/>
    <x v="2"/>
    <x v="17"/>
    <x v="516"/>
    <x v="5"/>
    <x v="518"/>
    <x v="2"/>
    <x v="516"/>
    <x v="3"/>
  </r>
  <r>
    <x v="135"/>
    <x v="520"/>
    <x v="0"/>
    <x v="3"/>
    <x v="2"/>
    <x v="11"/>
    <x v="517"/>
    <x v="2"/>
    <x v="519"/>
    <x v="1"/>
    <x v="517"/>
    <x v="2"/>
  </r>
  <r>
    <x v="282"/>
    <x v="521"/>
    <x v="1"/>
    <x v="0"/>
    <x v="0"/>
    <x v="19"/>
    <x v="518"/>
    <x v="0"/>
    <x v="520"/>
    <x v="0"/>
    <x v="518"/>
    <x v="2"/>
  </r>
  <r>
    <x v="157"/>
    <x v="522"/>
    <x v="1"/>
    <x v="2"/>
    <x v="2"/>
    <x v="8"/>
    <x v="519"/>
    <x v="14"/>
    <x v="521"/>
    <x v="24"/>
    <x v="519"/>
    <x v="0"/>
  </r>
  <r>
    <x v="37"/>
    <x v="523"/>
    <x v="2"/>
    <x v="0"/>
    <x v="2"/>
    <x v="8"/>
    <x v="520"/>
    <x v="3"/>
    <x v="522"/>
    <x v="10"/>
    <x v="520"/>
    <x v="1"/>
  </r>
  <r>
    <x v="110"/>
    <x v="524"/>
    <x v="0"/>
    <x v="1"/>
    <x v="3"/>
    <x v="15"/>
    <x v="521"/>
    <x v="11"/>
    <x v="523"/>
    <x v="15"/>
    <x v="521"/>
    <x v="1"/>
  </r>
  <r>
    <x v="15"/>
    <x v="525"/>
    <x v="1"/>
    <x v="1"/>
    <x v="3"/>
    <x v="9"/>
    <x v="522"/>
    <x v="13"/>
    <x v="524"/>
    <x v="6"/>
    <x v="522"/>
    <x v="1"/>
  </r>
  <r>
    <x v="212"/>
    <x v="526"/>
    <x v="2"/>
    <x v="3"/>
    <x v="0"/>
    <x v="0"/>
    <x v="523"/>
    <x v="11"/>
    <x v="525"/>
    <x v="8"/>
    <x v="523"/>
    <x v="2"/>
  </r>
  <r>
    <x v="170"/>
    <x v="527"/>
    <x v="1"/>
    <x v="0"/>
    <x v="2"/>
    <x v="4"/>
    <x v="524"/>
    <x v="8"/>
    <x v="526"/>
    <x v="4"/>
    <x v="524"/>
    <x v="0"/>
  </r>
  <r>
    <x v="132"/>
    <x v="528"/>
    <x v="3"/>
    <x v="3"/>
    <x v="1"/>
    <x v="2"/>
    <x v="525"/>
    <x v="14"/>
    <x v="527"/>
    <x v="17"/>
    <x v="525"/>
    <x v="0"/>
  </r>
  <r>
    <x v="283"/>
    <x v="529"/>
    <x v="1"/>
    <x v="2"/>
    <x v="3"/>
    <x v="9"/>
    <x v="526"/>
    <x v="7"/>
    <x v="528"/>
    <x v="9"/>
    <x v="526"/>
    <x v="3"/>
  </r>
  <r>
    <x v="278"/>
    <x v="530"/>
    <x v="2"/>
    <x v="4"/>
    <x v="3"/>
    <x v="9"/>
    <x v="527"/>
    <x v="1"/>
    <x v="529"/>
    <x v="13"/>
    <x v="527"/>
    <x v="1"/>
  </r>
  <r>
    <x v="123"/>
    <x v="531"/>
    <x v="3"/>
    <x v="3"/>
    <x v="2"/>
    <x v="4"/>
    <x v="528"/>
    <x v="14"/>
    <x v="530"/>
    <x v="13"/>
    <x v="528"/>
    <x v="3"/>
  </r>
  <r>
    <x v="284"/>
    <x v="532"/>
    <x v="1"/>
    <x v="2"/>
    <x v="0"/>
    <x v="13"/>
    <x v="529"/>
    <x v="5"/>
    <x v="531"/>
    <x v="4"/>
    <x v="529"/>
    <x v="2"/>
  </r>
  <r>
    <x v="276"/>
    <x v="533"/>
    <x v="2"/>
    <x v="2"/>
    <x v="1"/>
    <x v="2"/>
    <x v="530"/>
    <x v="2"/>
    <x v="532"/>
    <x v="21"/>
    <x v="530"/>
    <x v="2"/>
  </r>
  <r>
    <x v="20"/>
    <x v="534"/>
    <x v="0"/>
    <x v="0"/>
    <x v="1"/>
    <x v="2"/>
    <x v="531"/>
    <x v="9"/>
    <x v="533"/>
    <x v="19"/>
    <x v="531"/>
    <x v="3"/>
  </r>
  <r>
    <x v="67"/>
    <x v="535"/>
    <x v="3"/>
    <x v="1"/>
    <x v="2"/>
    <x v="4"/>
    <x v="532"/>
    <x v="9"/>
    <x v="534"/>
    <x v="18"/>
    <x v="532"/>
    <x v="1"/>
  </r>
  <r>
    <x v="239"/>
    <x v="536"/>
    <x v="0"/>
    <x v="3"/>
    <x v="2"/>
    <x v="8"/>
    <x v="533"/>
    <x v="4"/>
    <x v="535"/>
    <x v="23"/>
    <x v="533"/>
    <x v="0"/>
  </r>
  <r>
    <x v="229"/>
    <x v="537"/>
    <x v="3"/>
    <x v="3"/>
    <x v="0"/>
    <x v="13"/>
    <x v="534"/>
    <x v="0"/>
    <x v="536"/>
    <x v="17"/>
    <x v="534"/>
    <x v="2"/>
  </r>
  <r>
    <x v="241"/>
    <x v="538"/>
    <x v="0"/>
    <x v="3"/>
    <x v="3"/>
    <x v="9"/>
    <x v="535"/>
    <x v="4"/>
    <x v="537"/>
    <x v="15"/>
    <x v="535"/>
    <x v="3"/>
  </r>
  <r>
    <x v="237"/>
    <x v="539"/>
    <x v="2"/>
    <x v="0"/>
    <x v="1"/>
    <x v="3"/>
    <x v="536"/>
    <x v="4"/>
    <x v="538"/>
    <x v="24"/>
    <x v="536"/>
    <x v="3"/>
  </r>
  <r>
    <x v="285"/>
    <x v="540"/>
    <x v="2"/>
    <x v="0"/>
    <x v="2"/>
    <x v="8"/>
    <x v="537"/>
    <x v="3"/>
    <x v="539"/>
    <x v="12"/>
    <x v="537"/>
    <x v="0"/>
  </r>
  <r>
    <x v="113"/>
    <x v="541"/>
    <x v="0"/>
    <x v="2"/>
    <x v="2"/>
    <x v="17"/>
    <x v="538"/>
    <x v="8"/>
    <x v="540"/>
    <x v="24"/>
    <x v="538"/>
    <x v="0"/>
  </r>
  <r>
    <x v="25"/>
    <x v="542"/>
    <x v="1"/>
    <x v="3"/>
    <x v="1"/>
    <x v="3"/>
    <x v="539"/>
    <x v="14"/>
    <x v="541"/>
    <x v="10"/>
    <x v="539"/>
    <x v="2"/>
  </r>
  <r>
    <x v="286"/>
    <x v="543"/>
    <x v="0"/>
    <x v="4"/>
    <x v="3"/>
    <x v="12"/>
    <x v="540"/>
    <x v="9"/>
    <x v="542"/>
    <x v="18"/>
    <x v="540"/>
    <x v="0"/>
  </r>
  <r>
    <x v="28"/>
    <x v="544"/>
    <x v="2"/>
    <x v="3"/>
    <x v="3"/>
    <x v="10"/>
    <x v="541"/>
    <x v="0"/>
    <x v="543"/>
    <x v="8"/>
    <x v="541"/>
    <x v="1"/>
  </r>
  <r>
    <x v="287"/>
    <x v="545"/>
    <x v="2"/>
    <x v="2"/>
    <x v="3"/>
    <x v="14"/>
    <x v="542"/>
    <x v="12"/>
    <x v="544"/>
    <x v="8"/>
    <x v="542"/>
    <x v="0"/>
  </r>
  <r>
    <x v="156"/>
    <x v="546"/>
    <x v="0"/>
    <x v="2"/>
    <x v="1"/>
    <x v="1"/>
    <x v="543"/>
    <x v="8"/>
    <x v="545"/>
    <x v="15"/>
    <x v="543"/>
    <x v="0"/>
  </r>
  <r>
    <x v="288"/>
    <x v="547"/>
    <x v="2"/>
    <x v="3"/>
    <x v="3"/>
    <x v="10"/>
    <x v="544"/>
    <x v="14"/>
    <x v="546"/>
    <x v="2"/>
    <x v="544"/>
    <x v="2"/>
  </r>
  <r>
    <x v="83"/>
    <x v="548"/>
    <x v="0"/>
    <x v="0"/>
    <x v="0"/>
    <x v="18"/>
    <x v="545"/>
    <x v="14"/>
    <x v="547"/>
    <x v="10"/>
    <x v="545"/>
    <x v="0"/>
  </r>
  <r>
    <x v="98"/>
    <x v="549"/>
    <x v="2"/>
    <x v="4"/>
    <x v="1"/>
    <x v="5"/>
    <x v="546"/>
    <x v="13"/>
    <x v="548"/>
    <x v="14"/>
    <x v="546"/>
    <x v="0"/>
  </r>
  <r>
    <x v="59"/>
    <x v="550"/>
    <x v="0"/>
    <x v="2"/>
    <x v="1"/>
    <x v="2"/>
    <x v="547"/>
    <x v="0"/>
    <x v="549"/>
    <x v="0"/>
    <x v="547"/>
    <x v="2"/>
  </r>
  <r>
    <x v="289"/>
    <x v="551"/>
    <x v="1"/>
    <x v="4"/>
    <x v="0"/>
    <x v="18"/>
    <x v="548"/>
    <x v="7"/>
    <x v="550"/>
    <x v="6"/>
    <x v="548"/>
    <x v="1"/>
  </r>
  <r>
    <x v="134"/>
    <x v="552"/>
    <x v="0"/>
    <x v="3"/>
    <x v="3"/>
    <x v="15"/>
    <x v="549"/>
    <x v="6"/>
    <x v="551"/>
    <x v="4"/>
    <x v="549"/>
    <x v="0"/>
  </r>
  <r>
    <x v="290"/>
    <x v="553"/>
    <x v="2"/>
    <x v="4"/>
    <x v="1"/>
    <x v="1"/>
    <x v="550"/>
    <x v="1"/>
    <x v="552"/>
    <x v="15"/>
    <x v="550"/>
    <x v="1"/>
  </r>
  <r>
    <x v="196"/>
    <x v="554"/>
    <x v="0"/>
    <x v="0"/>
    <x v="0"/>
    <x v="13"/>
    <x v="551"/>
    <x v="5"/>
    <x v="553"/>
    <x v="17"/>
    <x v="551"/>
    <x v="3"/>
  </r>
  <r>
    <x v="291"/>
    <x v="555"/>
    <x v="0"/>
    <x v="0"/>
    <x v="3"/>
    <x v="15"/>
    <x v="552"/>
    <x v="10"/>
    <x v="554"/>
    <x v="8"/>
    <x v="552"/>
    <x v="3"/>
  </r>
  <r>
    <x v="58"/>
    <x v="556"/>
    <x v="2"/>
    <x v="4"/>
    <x v="1"/>
    <x v="1"/>
    <x v="553"/>
    <x v="3"/>
    <x v="555"/>
    <x v="21"/>
    <x v="553"/>
    <x v="3"/>
  </r>
  <r>
    <x v="95"/>
    <x v="557"/>
    <x v="2"/>
    <x v="3"/>
    <x v="1"/>
    <x v="2"/>
    <x v="554"/>
    <x v="8"/>
    <x v="556"/>
    <x v="18"/>
    <x v="554"/>
    <x v="0"/>
  </r>
  <r>
    <x v="111"/>
    <x v="558"/>
    <x v="2"/>
    <x v="3"/>
    <x v="3"/>
    <x v="12"/>
    <x v="555"/>
    <x v="1"/>
    <x v="557"/>
    <x v="17"/>
    <x v="555"/>
    <x v="2"/>
  </r>
  <r>
    <x v="68"/>
    <x v="559"/>
    <x v="0"/>
    <x v="2"/>
    <x v="0"/>
    <x v="7"/>
    <x v="556"/>
    <x v="9"/>
    <x v="558"/>
    <x v="9"/>
    <x v="556"/>
    <x v="0"/>
  </r>
  <r>
    <x v="114"/>
    <x v="560"/>
    <x v="0"/>
    <x v="1"/>
    <x v="2"/>
    <x v="4"/>
    <x v="557"/>
    <x v="6"/>
    <x v="559"/>
    <x v="18"/>
    <x v="557"/>
    <x v="2"/>
  </r>
  <r>
    <x v="283"/>
    <x v="561"/>
    <x v="0"/>
    <x v="2"/>
    <x v="3"/>
    <x v="12"/>
    <x v="558"/>
    <x v="5"/>
    <x v="560"/>
    <x v="18"/>
    <x v="558"/>
    <x v="2"/>
  </r>
  <r>
    <x v="292"/>
    <x v="562"/>
    <x v="1"/>
    <x v="1"/>
    <x v="2"/>
    <x v="8"/>
    <x v="559"/>
    <x v="1"/>
    <x v="561"/>
    <x v="0"/>
    <x v="559"/>
    <x v="3"/>
  </r>
  <r>
    <x v="293"/>
    <x v="563"/>
    <x v="2"/>
    <x v="1"/>
    <x v="1"/>
    <x v="5"/>
    <x v="560"/>
    <x v="12"/>
    <x v="562"/>
    <x v="25"/>
    <x v="560"/>
    <x v="2"/>
  </r>
  <r>
    <x v="97"/>
    <x v="564"/>
    <x v="3"/>
    <x v="1"/>
    <x v="3"/>
    <x v="15"/>
    <x v="561"/>
    <x v="5"/>
    <x v="563"/>
    <x v="0"/>
    <x v="561"/>
    <x v="1"/>
  </r>
  <r>
    <x v="294"/>
    <x v="565"/>
    <x v="0"/>
    <x v="2"/>
    <x v="2"/>
    <x v="8"/>
    <x v="562"/>
    <x v="0"/>
    <x v="564"/>
    <x v="10"/>
    <x v="562"/>
    <x v="2"/>
  </r>
  <r>
    <x v="295"/>
    <x v="566"/>
    <x v="3"/>
    <x v="3"/>
    <x v="3"/>
    <x v="10"/>
    <x v="563"/>
    <x v="4"/>
    <x v="565"/>
    <x v="9"/>
    <x v="563"/>
    <x v="0"/>
  </r>
  <r>
    <x v="66"/>
    <x v="567"/>
    <x v="2"/>
    <x v="1"/>
    <x v="2"/>
    <x v="4"/>
    <x v="564"/>
    <x v="14"/>
    <x v="566"/>
    <x v="20"/>
    <x v="564"/>
    <x v="0"/>
  </r>
  <r>
    <x v="262"/>
    <x v="568"/>
    <x v="2"/>
    <x v="4"/>
    <x v="0"/>
    <x v="0"/>
    <x v="565"/>
    <x v="14"/>
    <x v="567"/>
    <x v="16"/>
    <x v="565"/>
    <x v="1"/>
  </r>
  <r>
    <x v="36"/>
    <x v="569"/>
    <x v="3"/>
    <x v="2"/>
    <x v="1"/>
    <x v="2"/>
    <x v="566"/>
    <x v="4"/>
    <x v="568"/>
    <x v="28"/>
    <x v="566"/>
    <x v="0"/>
  </r>
  <r>
    <x v="205"/>
    <x v="570"/>
    <x v="3"/>
    <x v="4"/>
    <x v="0"/>
    <x v="0"/>
    <x v="567"/>
    <x v="10"/>
    <x v="569"/>
    <x v="21"/>
    <x v="567"/>
    <x v="1"/>
  </r>
  <r>
    <x v="176"/>
    <x v="571"/>
    <x v="3"/>
    <x v="1"/>
    <x v="0"/>
    <x v="18"/>
    <x v="568"/>
    <x v="0"/>
    <x v="570"/>
    <x v="15"/>
    <x v="568"/>
    <x v="2"/>
  </r>
  <r>
    <x v="232"/>
    <x v="572"/>
    <x v="0"/>
    <x v="4"/>
    <x v="3"/>
    <x v="15"/>
    <x v="569"/>
    <x v="4"/>
    <x v="571"/>
    <x v="25"/>
    <x v="569"/>
    <x v="1"/>
  </r>
  <r>
    <x v="296"/>
    <x v="573"/>
    <x v="0"/>
    <x v="4"/>
    <x v="1"/>
    <x v="16"/>
    <x v="570"/>
    <x v="3"/>
    <x v="572"/>
    <x v="9"/>
    <x v="570"/>
    <x v="3"/>
  </r>
  <r>
    <x v="245"/>
    <x v="574"/>
    <x v="1"/>
    <x v="2"/>
    <x v="3"/>
    <x v="12"/>
    <x v="571"/>
    <x v="8"/>
    <x v="573"/>
    <x v="25"/>
    <x v="571"/>
    <x v="3"/>
  </r>
  <r>
    <x v="297"/>
    <x v="575"/>
    <x v="1"/>
    <x v="3"/>
    <x v="2"/>
    <x v="4"/>
    <x v="572"/>
    <x v="5"/>
    <x v="574"/>
    <x v="17"/>
    <x v="572"/>
    <x v="3"/>
  </r>
  <r>
    <x v="212"/>
    <x v="576"/>
    <x v="1"/>
    <x v="0"/>
    <x v="2"/>
    <x v="6"/>
    <x v="573"/>
    <x v="0"/>
    <x v="575"/>
    <x v="14"/>
    <x v="573"/>
    <x v="1"/>
  </r>
  <r>
    <x v="255"/>
    <x v="577"/>
    <x v="2"/>
    <x v="0"/>
    <x v="3"/>
    <x v="10"/>
    <x v="574"/>
    <x v="14"/>
    <x v="576"/>
    <x v="28"/>
    <x v="574"/>
    <x v="1"/>
  </r>
  <r>
    <x v="31"/>
    <x v="578"/>
    <x v="1"/>
    <x v="3"/>
    <x v="0"/>
    <x v="18"/>
    <x v="575"/>
    <x v="7"/>
    <x v="577"/>
    <x v="6"/>
    <x v="575"/>
    <x v="2"/>
  </r>
  <r>
    <x v="118"/>
    <x v="579"/>
    <x v="2"/>
    <x v="4"/>
    <x v="0"/>
    <x v="7"/>
    <x v="576"/>
    <x v="7"/>
    <x v="578"/>
    <x v="9"/>
    <x v="576"/>
    <x v="2"/>
  </r>
  <r>
    <x v="110"/>
    <x v="580"/>
    <x v="3"/>
    <x v="2"/>
    <x v="3"/>
    <x v="12"/>
    <x v="577"/>
    <x v="9"/>
    <x v="579"/>
    <x v="23"/>
    <x v="577"/>
    <x v="0"/>
  </r>
  <r>
    <x v="81"/>
    <x v="581"/>
    <x v="3"/>
    <x v="0"/>
    <x v="3"/>
    <x v="10"/>
    <x v="578"/>
    <x v="1"/>
    <x v="580"/>
    <x v="6"/>
    <x v="578"/>
    <x v="1"/>
  </r>
  <r>
    <x v="113"/>
    <x v="582"/>
    <x v="3"/>
    <x v="4"/>
    <x v="1"/>
    <x v="5"/>
    <x v="579"/>
    <x v="1"/>
    <x v="581"/>
    <x v="16"/>
    <x v="579"/>
    <x v="0"/>
  </r>
  <r>
    <x v="162"/>
    <x v="583"/>
    <x v="2"/>
    <x v="2"/>
    <x v="2"/>
    <x v="8"/>
    <x v="580"/>
    <x v="3"/>
    <x v="582"/>
    <x v="9"/>
    <x v="580"/>
    <x v="2"/>
  </r>
  <r>
    <x v="298"/>
    <x v="584"/>
    <x v="1"/>
    <x v="2"/>
    <x v="1"/>
    <x v="2"/>
    <x v="581"/>
    <x v="11"/>
    <x v="583"/>
    <x v="11"/>
    <x v="581"/>
    <x v="3"/>
  </r>
  <r>
    <x v="299"/>
    <x v="585"/>
    <x v="3"/>
    <x v="4"/>
    <x v="2"/>
    <x v="8"/>
    <x v="582"/>
    <x v="5"/>
    <x v="584"/>
    <x v="14"/>
    <x v="582"/>
    <x v="3"/>
  </r>
  <r>
    <x v="73"/>
    <x v="586"/>
    <x v="0"/>
    <x v="3"/>
    <x v="0"/>
    <x v="18"/>
    <x v="583"/>
    <x v="9"/>
    <x v="585"/>
    <x v="1"/>
    <x v="583"/>
    <x v="0"/>
  </r>
  <r>
    <x v="163"/>
    <x v="587"/>
    <x v="0"/>
    <x v="1"/>
    <x v="2"/>
    <x v="6"/>
    <x v="584"/>
    <x v="4"/>
    <x v="586"/>
    <x v="6"/>
    <x v="584"/>
    <x v="0"/>
  </r>
  <r>
    <x v="298"/>
    <x v="588"/>
    <x v="0"/>
    <x v="3"/>
    <x v="3"/>
    <x v="15"/>
    <x v="585"/>
    <x v="2"/>
    <x v="587"/>
    <x v="8"/>
    <x v="585"/>
    <x v="2"/>
  </r>
  <r>
    <x v="300"/>
    <x v="589"/>
    <x v="3"/>
    <x v="0"/>
    <x v="3"/>
    <x v="9"/>
    <x v="586"/>
    <x v="14"/>
    <x v="588"/>
    <x v="11"/>
    <x v="586"/>
    <x v="3"/>
  </r>
  <r>
    <x v="91"/>
    <x v="590"/>
    <x v="1"/>
    <x v="1"/>
    <x v="1"/>
    <x v="16"/>
    <x v="587"/>
    <x v="14"/>
    <x v="589"/>
    <x v="12"/>
    <x v="587"/>
    <x v="3"/>
  </r>
  <r>
    <x v="36"/>
    <x v="591"/>
    <x v="2"/>
    <x v="0"/>
    <x v="2"/>
    <x v="4"/>
    <x v="588"/>
    <x v="14"/>
    <x v="590"/>
    <x v="15"/>
    <x v="588"/>
    <x v="3"/>
  </r>
  <r>
    <x v="245"/>
    <x v="592"/>
    <x v="3"/>
    <x v="0"/>
    <x v="2"/>
    <x v="17"/>
    <x v="589"/>
    <x v="11"/>
    <x v="591"/>
    <x v="29"/>
    <x v="589"/>
    <x v="3"/>
  </r>
  <r>
    <x v="271"/>
    <x v="593"/>
    <x v="2"/>
    <x v="2"/>
    <x v="3"/>
    <x v="10"/>
    <x v="590"/>
    <x v="14"/>
    <x v="592"/>
    <x v="14"/>
    <x v="590"/>
    <x v="0"/>
  </r>
  <r>
    <x v="200"/>
    <x v="594"/>
    <x v="3"/>
    <x v="0"/>
    <x v="2"/>
    <x v="17"/>
    <x v="591"/>
    <x v="12"/>
    <x v="593"/>
    <x v="27"/>
    <x v="591"/>
    <x v="0"/>
  </r>
  <r>
    <x v="21"/>
    <x v="595"/>
    <x v="0"/>
    <x v="0"/>
    <x v="3"/>
    <x v="12"/>
    <x v="592"/>
    <x v="5"/>
    <x v="594"/>
    <x v="28"/>
    <x v="592"/>
    <x v="0"/>
  </r>
  <r>
    <x v="144"/>
    <x v="596"/>
    <x v="2"/>
    <x v="3"/>
    <x v="1"/>
    <x v="16"/>
    <x v="593"/>
    <x v="5"/>
    <x v="595"/>
    <x v="7"/>
    <x v="593"/>
    <x v="1"/>
  </r>
  <r>
    <x v="301"/>
    <x v="597"/>
    <x v="2"/>
    <x v="2"/>
    <x v="1"/>
    <x v="16"/>
    <x v="594"/>
    <x v="4"/>
    <x v="596"/>
    <x v="17"/>
    <x v="594"/>
    <x v="3"/>
  </r>
  <r>
    <x v="57"/>
    <x v="598"/>
    <x v="1"/>
    <x v="2"/>
    <x v="1"/>
    <x v="2"/>
    <x v="595"/>
    <x v="5"/>
    <x v="597"/>
    <x v="27"/>
    <x v="595"/>
    <x v="1"/>
  </r>
  <r>
    <x v="251"/>
    <x v="599"/>
    <x v="2"/>
    <x v="0"/>
    <x v="0"/>
    <x v="7"/>
    <x v="596"/>
    <x v="14"/>
    <x v="598"/>
    <x v="12"/>
    <x v="596"/>
    <x v="0"/>
  </r>
  <r>
    <x v="302"/>
    <x v="600"/>
    <x v="2"/>
    <x v="0"/>
    <x v="0"/>
    <x v="0"/>
    <x v="597"/>
    <x v="6"/>
    <x v="599"/>
    <x v="27"/>
    <x v="597"/>
    <x v="2"/>
  </r>
  <r>
    <x v="210"/>
    <x v="601"/>
    <x v="2"/>
    <x v="2"/>
    <x v="3"/>
    <x v="14"/>
    <x v="598"/>
    <x v="7"/>
    <x v="600"/>
    <x v="0"/>
    <x v="598"/>
    <x v="0"/>
  </r>
  <r>
    <x v="117"/>
    <x v="602"/>
    <x v="0"/>
    <x v="1"/>
    <x v="2"/>
    <x v="4"/>
    <x v="599"/>
    <x v="9"/>
    <x v="601"/>
    <x v="1"/>
    <x v="599"/>
    <x v="1"/>
  </r>
  <r>
    <x v="251"/>
    <x v="603"/>
    <x v="1"/>
    <x v="0"/>
    <x v="1"/>
    <x v="2"/>
    <x v="600"/>
    <x v="12"/>
    <x v="602"/>
    <x v="11"/>
    <x v="600"/>
    <x v="3"/>
  </r>
  <r>
    <x v="259"/>
    <x v="604"/>
    <x v="3"/>
    <x v="0"/>
    <x v="3"/>
    <x v="12"/>
    <x v="601"/>
    <x v="1"/>
    <x v="603"/>
    <x v="1"/>
    <x v="601"/>
    <x v="1"/>
  </r>
  <r>
    <x v="223"/>
    <x v="605"/>
    <x v="0"/>
    <x v="2"/>
    <x v="1"/>
    <x v="3"/>
    <x v="602"/>
    <x v="13"/>
    <x v="604"/>
    <x v="13"/>
    <x v="602"/>
    <x v="3"/>
  </r>
  <r>
    <x v="237"/>
    <x v="606"/>
    <x v="3"/>
    <x v="2"/>
    <x v="3"/>
    <x v="12"/>
    <x v="603"/>
    <x v="12"/>
    <x v="605"/>
    <x v="23"/>
    <x v="603"/>
    <x v="0"/>
  </r>
  <r>
    <x v="267"/>
    <x v="607"/>
    <x v="2"/>
    <x v="4"/>
    <x v="1"/>
    <x v="2"/>
    <x v="604"/>
    <x v="9"/>
    <x v="606"/>
    <x v="13"/>
    <x v="604"/>
    <x v="0"/>
  </r>
  <r>
    <x v="123"/>
    <x v="608"/>
    <x v="1"/>
    <x v="0"/>
    <x v="3"/>
    <x v="9"/>
    <x v="605"/>
    <x v="8"/>
    <x v="607"/>
    <x v="15"/>
    <x v="605"/>
    <x v="0"/>
  </r>
  <r>
    <x v="246"/>
    <x v="609"/>
    <x v="2"/>
    <x v="2"/>
    <x v="1"/>
    <x v="16"/>
    <x v="606"/>
    <x v="6"/>
    <x v="608"/>
    <x v="24"/>
    <x v="606"/>
    <x v="3"/>
  </r>
  <r>
    <x v="244"/>
    <x v="610"/>
    <x v="3"/>
    <x v="0"/>
    <x v="2"/>
    <x v="11"/>
    <x v="607"/>
    <x v="12"/>
    <x v="609"/>
    <x v="3"/>
    <x v="607"/>
    <x v="0"/>
  </r>
  <r>
    <x v="185"/>
    <x v="611"/>
    <x v="1"/>
    <x v="0"/>
    <x v="0"/>
    <x v="0"/>
    <x v="608"/>
    <x v="2"/>
    <x v="610"/>
    <x v="2"/>
    <x v="608"/>
    <x v="1"/>
  </r>
  <r>
    <x v="74"/>
    <x v="612"/>
    <x v="0"/>
    <x v="1"/>
    <x v="3"/>
    <x v="12"/>
    <x v="609"/>
    <x v="11"/>
    <x v="611"/>
    <x v="8"/>
    <x v="609"/>
    <x v="3"/>
  </r>
  <r>
    <x v="156"/>
    <x v="613"/>
    <x v="1"/>
    <x v="0"/>
    <x v="0"/>
    <x v="13"/>
    <x v="610"/>
    <x v="10"/>
    <x v="612"/>
    <x v="18"/>
    <x v="610"/>
    <x v="3"/>
  </r>
  <r>
    <x v="217"/>
    <x v="614"/>
    <x v="2"/>
    <x v="4"/>
    <x v="1"/>
    <x v="2"/>
    <x v="611"/>
    <x v="0"/>
    <x v="613"/>
    <x v="1"/>
    <x v="611"/>
    <x v="2"/>
  </r>
  <r>
    <x v="303"/>
    <x v="615"/>
    <x v="1"/>
    <x v="2"/>
    <x v="3"/>
    <x v="15"/>
    <x v="612"/>
    <x v="2"/>
    <x v="614"/>
    <x v="17"/>
    <x v="612"/>
    <x v="0"/>
  </r>
  <r>
    <x v="42"/>
    <x v="616"/>
    <x v="0"/>
    <x v="1"/>
    <x v="2"/>
    <x v="11"/>
    <x v="613"/>
    <x v="6"/>
    <x v="615"/>
    <x v="29"/>
    <x v="613"/>
    <x v="1"/>
  </r>
  <r>
    <x v="112"/>
    <x v="617"/>
    <x v="0"/>
    <x v="1"/>
    <x v="1"/>
    <x v="5"/>
    <x v="614"/>
    <x v="8"/>
    <x v="616"/>
    <x v="18"/>
    <x v="614"/>
    <x v="0"/>
  </r>
  <r>
    <x v="175"/>
    <x v="618"/>
    <x v="0"/>
    <x v="4"/>
    <x v="3"/>
    <x v="15"/>
    <x v="615"/>
    <x v="9"/>
    <x v="617"/>
    <x v="9"/>
    <x v="615"/>
    <x v="1"/>
  </r>
  <r>
    <x v="204"/>
    <x v="619"/>
    <x v="1"/>
    <x v="4"/>
    <x v="0"/>
    <x v="18"/>
    <x v="616"/>
    <x v="9"/>
    <x v="618"/>
    <x v="18"/>
    <x v="616"/>
    <x v="2"/>
  </r>
  <r>
    <x v="68"/>
    <x v="620"/>
    <x v="3"/>
    <x v="0"/>
    <x v="3"/>
    <x v="10"/>
    <x v="617"/>
    <x v="12"/>
    <x v="619"/>
    <x v="1"/>
    <x v="617"/>
    <x v="2"/>
  </r>
  <r>
    <x v="290"/>
    <x v="621"/>
    <x v="2"/>
    <x v="2"/>
    <x v="1"/>
    <x v="16"/>
    <x v="618"/>
    <x v="11"/>
    <x v="620"/>
    <x v="8"/>
    <x v="618"/>
    <x v="3"/>
  </r>
  <r>
    <x v="86"/>
    <x v="622"/>
    <x v="3"/>
    <x v="4"/>
    <x v="0"/>
    <x v="7"/>
    <x v="619"/>
    <x v="6"/>
    <x v="621"/>
    <x v="24"/>
    <x v="619"/>
    <x v="0"/>
  </r>
  <r>
    <x v="159"/>
    <x v="623"/>
    <x v="2"/>
    <x v="4"/>
    <x v="0"/>
    <x v="7"/>
    <x v="620"/>
    <x v="9"/>
    <x v="622"/>
    <x v="21"/>
    <x v="620"/>
    <x v="1"/>
  </r>
  <r>
    <x v="123"/>
    <x v="624"/>
    <x v="0"/>
    <x v="1"/>
    <x v="2"/>
    <x v="11"/>
    <x v="621"/>
    <x v="7"/>
    <x v="623"/>
    <x v="13"/>
    <x v="621"/>
    <x v="1"/>
  </r>
  <r>
    <x v="281"/>
    <x v="625"/>
    <x v="0"/>
    <x v="2"/>
    <x v="3"/>
    <x v="12"/>
    <x v="622"/>
    <x v="6"/>
    <x v="624"/>
    <x v="10"/>
    <x v="622"/>
    <x v="0"/>
  </r>
  <r>
    <x v="137"/>
    <x v="626"/>
    <x v="1"/>
    <x v="1"/>
    <x v="0"/>
    <x v="18"/>
    <x v="623"/>
    <x v="14"/>
    <x v="625"/>
    <x v="1"/>
    <x v="623"/>
    <x v="3"/>
  </r>
  <r>
    <x v="116"/>
    <x v="627"/>
    <x v="2"/>
    <x v="1"/>
    <x v="1"/>
    <x v="1"/>
    <x v="624"/>
    <x v="6"/>
    <x v="626"/>
    <x v="23"/>
    <x v="624"/>
    <x v="1"/>
  </r>
  <r>
    <x v="304"/>
    <x v="628"/>
    <x v="2"/>
    <x v="0"/>
    <x v="3"/>
    <x v="10"/>
    <x v="625"/>
    <x v="13"/>
    <x v="627"/>
    <x v="17"/>
    <x v="625"/>
    <x v="0"/>
  </r>
  <r>
    <x v="93"/>
    <x v="629"/>
    <x v="2"/>
    <x v="2"/>
    <x v="1"/>
    <x v="2"/>
    <x v="626"/>
    <x v="7"/>
    <x v="628"/>
    <x v="20"/>
    <x v="626"/>
    <x v="0"/>
  </r>
  <r>
    <x v="93"/>
    <x v="630"/>
    <x v="2"/>
    <x v="2"/>
    <x v="3"/>
    <x v="15"/>
    <x v="627"/>
    <x v="6"/>
    <x v="629"/>
    <x v="5"/>
    <x v="627"/>
    <x v="1"/>
  </r>
  <r>
    <x v="129"/>
    <x v="631"/>
    <x v="3"/>
    <x v="3"/>
    <x v="2"/>
    <x v="6"/>
    <x v="628"/>
    <x v="0"/>
    <x v="630"/>
    <x v="27"/>
    <x v="628"/>
    <x v="0"/>
  </r>
  <r>
    <x v="245"/>
    <x v="632"/>
    <x v="2"/>
    <x v="1"/>
    <x v="3"/>
    <x v="14"/>
    <x v="629"/>
    <x v="7"/>
    <x v="631"/>
    <x v="7"/>
    <x v="629"/>
    <x v="3"/>
  </r>
  <r>
    <x v="11"/>
    <x v="633"/>
    <x v="1"/>
    <x v="4"/>
    <x v="1"/>
    <x v="1"/>
    <x v="630"/>
    <x v="14"/>
    <x v="632"/>
    <x v="20"/>
    <x v="630"/>
    <x v="3"/>
  </r>
  <r>
    <x v="109"/>
    <x v="634"/>
    <x v="0"/>
    <x v="4"/>
    <x v="0"/>
    <x v="19"/>
    <x v="631"/>
    <x v="8"/>
    <x v="633"/>
    <x v="6"/>
    <x v="631"/>
    <x v="1"/>
  </r>
  <r>
    <x v="305"/>
    <x v="635"/>
    <x v="0"/>
    <x v="0"/>
    <x v="2"/>
    <x v="6"/>
    <x v="632"/>
    <x v="9"/>
    <x v="634"/>
    <x v="13"/>
    <x v="632"/>
    <x v="3"/>
  </r>
  <r>
    <x v="306"/>
    <x v="636"/>
    <x v="1"/>
    <x v="0"/>
    <x v="2"/>
    <x v="17"/>
    <x v="633"/>
    <x v="10"/>
    <x v="635"/>
    <x v="11"/>
    <x v="633"/>
    <x v="0"/>
  </r>
  <r>
    <x v="214"/>
    <x v="637"/>
    <x v="3"/>
    <x v="1"/>
    <x v="2"/>
    <x v="8"/>
    <x v="634"/>
    <x v="3"/>
    <x v="636"/>
    <x v="29"/>
    <x v="634"/>
    <x v="0"/>
  </r>
  <r>
    <x v="289"/>
    <x v="638"/>
    <x v="2"/>
    <x v="3"/>
    <x v="2"/>
    <x v="6"/>
    <x v="635"/>
    <x v="14"/>
    <x v="637"/>
    <x v="4"/>
    <x v="635"/>
    <x v="1"/>
  </r>
  <r>
    <x v="23"/>
    <x v="639"/>
    <x v="2"/>
    <x v="1"/>
    <x v="0"/>
    <x v="7"/>
    <x v="636"/>
    <x v="3"/>
    <x v="638"/>
    <x v="28"/>
    <x v="636"/>
    <x v="1"/>
  </r>
  <r>
    <x v="84"/>
    <x v="640"/>
    <x v="0"/>
    <x v="1"/>
    <x v="2"/>
    <x v="17"/>
    <x v="637"/>
    <x v="5"/>
    <x v="639"/>
    <x v="12"/>
    <x v="637"/>
    <x v="3"/>
  </r>
  <r>
    <x v="307"/>
    <x v="641"/>
    <x v="3"/>
    <x v="2"/>
    <x v="2"/>
    <x v="8"/>
    <x v="638"/>
    <x v="2"/>
    <x v="640"/>
    <x v="30"/>
    <x v="638"/>
    <x v="1"/>
  </r>
  <r>
    <x v="143"/>
    <x v="642"/>
    <x v="2"/>
    <x v="1"/>
    <x v="2"/>
    <x v="4"/>
    <x v="639"/>
    <x v="8"/>
    <x v="641"/>
    <x v="24"/>
    <x v="639"/>
    <x v="3"/>
  </r>
  <r>
    <x v="29"/>
    <x v="643"/>
    <x v="2"/>
    <x v="0"/>
    <x v="3"/>
    <x v="15"/>
    <x v="640"/>
    <x v="3"/>
    <x v="642"/>
    <x v="11"/>
    <x v="640"/>
    <x v="3"/>
  </r>
  <r>
    <x v="197"/>
    <x v="644"/>
    <x v="3"/>
    <x v="4"/>
    <x v="1"/>
    <x v="16"/>
    <x v="641"/>
    <x v="13"/>
    <x v="643"/>
    <x v="26"/>
    <x v="641"/>
    <x v="3"/>
  </r>
  <r>
    <x v="94"/>
    <x v="645"/>
    <x v="3"/>
    <x v="1"/>
    <x v="0"/>
    <x v="7"/>
    <x v="642"/>
    <x v="2"/>
    <x v="644"/>
    <x v="29"/>
    <x v="642"/>
    <x v="0"/>
  </r>
  <r>
    <x v="8"/>
    <x v="646"/>
    <x v="1"/>
    <x v="3"/>
    <x v="2"/>
    <x v="11"/>
    <x v="643"/>
    <x v="11"/>
    <x v="645"/>
    <x v="8"/>
    <x v="643"/>
    <x v="3"/>
  </r>
  <r>
    <x v="41"/>
    <x v="647"/>
    <x v="2"/>
    <x v="2"/>
    <x v="1"/>
    <x v="3"/>
    <x v="644"/>
    <x v="10"/>
    <x v="646"/>
    <x v="20"/>
    <x v="644"/>
    <x v="0"/>
  </r>
  <r>
    <x v="92"/>
    <x v="648"/>
    <x v="0"/>
    <x v="0"/>
    <x v="0"/>
    <x v="13"/>
    <x v="645"/>
    <x v="4"/>
    <x v="647"/>
    <x v="9"/>
    <x v="645"/>
    <x v="1"/>
  </r>
  <r>
    <x v="289"/>
    <x v="649"/>
    <x v="3"/>
    <x v="3"/>
    <x v="2"/>
    <x v="4"/>
    <x v="646"/>
    <x v="14"/>
    <x v="648"/>
    <x v="15"/>
    <x v="646"/>
    <x v="0"/>
  </r>
  <r>
    <x v="246"/>
    <x v="650"/>
    <x v="1"/>
    <x v="4"/>
    <x v="2"/>
    <x v="6"/>
    <x v="647"/>
    <x v="6"/>
    <x v="649"/>
    <x v="8"/>
    <x v="647"/>
    <x v="3"/>
  </r>
  <r>
    <x v="218"/>
    <x v="651"/>
    <x v="1"/>
    <x v="1"/>
    <x v="2"/>
    <x v="11"/>
    <x v="648"/>
    <x v="9"/>
    <x v="650"/>
    <x v="7"/>
    <x v="648"/>
    <x v="1"/>
  </r>
  <r>
    <x v="280"/>
    <x v="652"/>
    <x v="3"/>
    <x v="4"/>
    <x v="0"/>
    <x v="0"/>
    <x v="649"/>
    <x v="13"/>
    <x v="651"/>
    <x v="26"/>
    <x v="649"/>
    <x v="3"/>
  </r>
  <r>
    <x v="235"/>
    <x v="653"/>
    <x v="3"/>
    <x v="3"/>
    <x v="2"/>
    <x v="6"/>
    <x v="650"/>
    <x v="9"/>
    <x v="652"/>
    <x v="10"/>
    <x v="650"/>
    <x v="3"/>
  </r>
  <r>
    <x v="140"/>
    <x v="654"/>
    <x v="0"/>
    <x v="3"/>
    <x v="2"/>
    <x v="17"/>
    <x v="651"/>
    <x v="6"/>
    <x v="653"/>
    <x v="15"/>
    <x v="651"/>
    <x v="3"/>
  </r>
  <r>
    <x v="68"/>
    <x v="655"/>
    <x v="3"/>
    <x v="1"/>
    <x v="0"/>
    <x v="0"/>
    <x v="652"/>
    <x v="8"/>
    <x v="654"/>
    <x v="8"/>
    <x v="652"/>
    <x v="2"/>
  </r>
  <r>
    <x v="308"/>
    <x v="656"/>
    <x v="3"/>
    <x v="4"/>
    <x v="0"/>
    <x v="18"/>
    <x v="653"/>
    <x v="9"/>
    <x v="655"/>
    <x v="23"/>
    <x v="653"/>
    <x v="2"/>
  </r>
  <r>
    <x v="113"/>
    <x v="657"/>
    <x v="3"/>
    <x v="0"/>
    <x v="2"/>
    <x v="8"/>
    <x v="654"/>
    <x v="7"/>
    <x v="656"/>
    <x v="4"/>
    <x v="654"/>
    <x v="2"/>
  </r>
  <r>
    <x v="263"/>
    <x v="658"/>
    <x v="2"/>
    <x v="0"/>
    <x v="0"/>
    <x v="13"/>
    <x v="655"/>
    <x v="0"/>
    <x v="657"/>
    <x v="23"/>
    <x v="655"/>
    <x v="3"/>
  </r>
  <r>
    <x v="126"/>
    <x v="659"/>
    <x v="3"/>
    <x v="2"/>
    <x v="3"/>
    <x v="14"/>
    <x v="656"/>
    <x v="6"/>
    <x v="658"/>
    <x v="13"/>
    <x v="656"/>
    <x v="0"/>
  </r>
  <r>
    <x v="50"/>
    <x v="660"/>
    <x v="1"/>
    <x v="3"/>
    <x v="0"/>
    <x v="18"/>
    <x v="657"/>
    <x v="1"/>
    <x v="659"/>
    <x v="26"/>
    <x v="657"/>
    <x v="3"/>
  </r>
  <r>
    <x v="219"/>
    <x v="661"/>
    <x v="0"/>
    <x v="1"/>
    <x v="3"/>
    <x v="12"/>
    <x v="658"/>
    <x v="10"/>
    <x v="660"/>
    <x v="8"/>
    <x v="658"/>
    <x v="0"/>
  </r>
  <r>
    <x v="96"/>
    <x v="662"/>
    <x v="3"/>
    <x v="4"/>
    <x v="2"/>
    <x v="11"/>
    <x v="659"/>
    <x v="13"/>
    <x v="661"/>
    <x v="8"/>
    <x v="659"/>
    <x v="0"/>
  </r>
  <r>
    <x v="309"/>
    <x v="663"/>
    <x v="0"/>
    <x v="1"/>
    <x v="1"/>
    <x v="3"/>
    <x v="660"/>
    <x v="1"/>
    <x v="662"/>
    <x v="2"/>
    <x v="660"/>
    <x v="1"/>
  </r>
  <r>
    <x v="282"/>
    <x v="664"/>
    <x v="0"/>
    <x v="3"/>
    <x v="1"/>
    <x v="5"/>
    <x v="661"/>
    <x v="5"/>
    <x v="663"/>
    <x v="9"/>
    <x v="661"/>
    <x v="3"/>
  </r>
  <r>
    <x v="90"/>
    <x v="665"/>
    <x v="1"/>
    <x v="3"/>
    <x v="1"/>
    <x v="1"/>
    <x v="662"/>
    <x v="0"/>
    <x v="664"/>
    <x v="17"/>
    <x v="662"/>
    <x v="3"/>
  </r>
  <r>
    <x v="310"/>
    <x v="666"/>
    <x v="1"/>
    <x v="3"/>
    <x v="1"/>
    <x v="2"/>
    <x v="663"/>
    <x v="3"/>
    <x v="665"/>
    <x v="4"/>
    <x v="663"/>
    <x v="2"/>
  </r>
  <r>
    <x v="128"/>
    <x v="667"/>
    <x v="2"/>
    <x v="3"/>
    <x v="1"/>
    <x v="1"/>
    <x v="664"/>
    <x v="10"/>
    <x v="666"/>
    <x v="16"/>
    <x v="664"/>
    <x v="2"/>
  </r>
  <r>
    <x v="95"/>
    <x v="668"/>
    <x v="0"/>
    <x v="0"/>
    <x v="0"/>
    <x v="7"/>
    <x v="665"/>
    <x v="7"/>
    <x v="667"/>
    <x v="2"/>
    <x v="665"/>
    <x v="2"/>
  </r>
  <r>
    <x v="244"/>
    <x v="669"/>
    <x v="2"/>
    <x v="4"/>
    <x v="1"/>
    <x v="5"/>
    <x v="666"/>
    <x v="14"/>
    <x v="668"/>
    <x v="24"/>
    <x v="666"/>
    <x v="3"/>
  </r>
  <r>
    <x v="10"/>
    <x v="670"/>
    <x v="1"/>
    <x v="0"/>
    <x v="0"/>
    <x v="19"/>
    <x v="667"/>
    <x v="5"/>
    <x v="669"/>
    <x v="29"/>
    <x v="667"/>
    <x v="3"/>
  </r>
  <r>
    <x v="203"/>
    <x v="671"/>
    <x v="3"/>
    <x v="1"/>
    <x v="2"/>
    <x v="17"/>
    <x v="668"/>
    <x v="4"/>
    <x v="670"/>
    <x v="14"/>
    <x v="668"/>
    <x v="0"/>
  </r>
  <r>
    <x v="118"/>
    <x v="672"/>
    <x v="0"/>
    <x v="2"/>
    <x v="3"/>
    <x v="9"/>
    <x v="669"/>
    <x v="4"/>
    <x v="671"/>
    <x v="3"/>
    <x v="669"/>
    <x v="3"/>
  </r>
  <r>
    <x v="286"/>
    <x v="673"/>
    <x v="1"/>
    <x v="0"/>
    <x v="3"/>
    <x v="9"/>
    <x v="670"/>
    <x v="3"/>
    <x v="672"/>
    <x v="6"/>
    <x v="670"/>
    <x v="3"/>
  </r>
  <r>
    <x v="118"/>
    <x v="674"/>
    <x v="3"/>
    <x v="3"/>
    <x v="1"/>
    <x v="16"/>
    <x v="671"/>
    <x v="5"/>
    <x v="673"/>
    <x v="10"/>
    <x v="671"/>
    <x v="1"/>
  </r>
  <r>
    <x v="162"/>
    <x v="675"/>
    <x v="3"/>
    <x v="1"/>
    <x v="1"/>
    <x v="5"/>
    <x v="672"/>
    <x v="9"/>
    <x v="674"/>
    <x v="7"/>
    <x v="672"/>
    <x v="3"/>
  </r>
  <r>
    <x v="21"/>
    <x v="676"/>
    <x v="1"/>
    <x v="1"/>
    <x v="2"/>
    <x v="8"/>
    <x v="673"/>
    <x v="10"/>
    <x v="675"/>
    <x v="0"/>
    <x v="673"/>
    <x v="0"/>
  </r>
  <r>
    <x v="311"/>
    <x v="677"/>
    <x v="2"/>
    <x v="1"/>
    <x v="3"/>
    <x v="14"/>
    <x v="674"/>
    <x v="7"/>
    <x v="676"/>
    <x v="9"/>
    <x v="674"/>
    <x v="2"/>
  </r>
  <r>
    <x v="12"/>
    <x v="678"/>
    <x v="0"/>
    <x v="0"/>
    <x v="3"/>
    <x v="12"/>
    <x v="675"/>
    <x v="11"/>
    <x v="677"/>
    <x v="8"/>
    <x v="675"/>
    <x v="0"/>
  </r>
  <r>
    <x v="278"/>
    <x v="679"/>
    <x v="1"/>
    <x v="2"/>
    <x v="2"/>
    <x v="4"/>
    <x v="676"/>
    <x v="12"/>
    <x v="678"/>
    <x v="5"/>
    <x v="676"/>
    <x v="2"/>
  </r>
  <r>
    <x v="252"/>
    <x v="680"/>
    <x v="3"/>
    <x v="4"/>
    <x v="2"/>
    <x v="8"/>
    <x v="677"/>
    <x v="9"/>
    <x v="679"/>
    <x v="17"/>
    <x v="677"/>
    <x v="2"/>
  </r>
  <r>
    <x v="215"/>
    <x v="681"/>
    <x v="0"/>
    <x v="4"/>
    <x v="1"/>
    <x v="5"/>
    <x v="678"/>
    <x v="3"/>
    <x v="680"/>
    <x v="27"/>
    <x v="678"/>
    <x v="0"/>
  </r>
  <r>
    <x v="220"/>
    <x v="682"/>
    <x v="3"/>
    <x v="0"/>
    <x v="2"/>
    <x v="6"/>
    <x v="679"/>
    <x v="9"/>
    <x v="681"/>
    <x v="4"/>
    <x v="679"/>
    <x v="2"/>
  </r>
  <r>
    <x v="43"/>
    <x v="683"/>
    <x v="3"/>
    <x v="0"/>
    <x v="0"/>
    <x v="19"/>
    <x v="680"/>
    <x v="1"/>
    <x v="682"/>
    <x v="0"/>
    <x v="680"/>
    <x v="3"/>
  </r>
  <r>
    <x v="224"/>
    <x v="684"/>
    <x v="3"/>
    <x v="2"/>
    <x v="0"/>
    <x v="7"/>
    <x v="681"/>
    <x v="2"/>
    <x v="683"/>
    <x v="29"/>
    <x v="681"/>
    <x v="3"/>
  </r>
  <r>
    <x v="312"/>
    <x v="685"/>
    <x v="0"/>
    <x v="2"/>
    <x v="3"/>
    <x v="10"/>
    <x v="682"/>
    <x v="9"/>
    <x v="684"/>
    <x v="5"/>
    <x v="682"/>
    <x v="1"/>
  </r>
  <r>
    <x v="236"/>
    <x v="686"/>
    <x v="1"/>
    <x v="4"/>
    <x v="0"/>
    <x v="19"/>
    <x v="683"/>
    <x v="13"/>
    <x v="685"/>
    <x v="15"/>
    <x v="683"/>
    <x v="0"/>
  </r>
  <r>
    <x v="130"/>
    <x v="687"/>
    <x v="3"/>
    <x v="4"/>
    <x v="0"/>
    <x v="18"/>
    <x v="684"/>
    <x v="5"/>
    <x v="686"/>
    <x v="14"/>
    <x v="684"/>
    <x v="1"/>
  </r>
  <r>
    <x v="59"/>
    <x v="688"/>
    <x v="3"/>
    <x v="4"/>
    <x v="0"/>
    <x v="19"/>
    <x v="685"/>
    <x v="4"/>
    <x v="687"/>
    <x v="16"/>
    <x v="685"/>
    <x v="0"/>
  </r>
  <r>
    <x v="9"/>
    <x v="689"/>
    <x v="1"/>
    <x v="4"/>
    <x v="3"/>
    <x v="9"/>
    <x v="686"/>
    <x v="2"/>
    <x v="688"/>
    <x v="2"/>
    <x v="686"/>
    <x v="1"/>
  </r>
  <r>
    <x v="281"/>
    <x v="690"/>
    <x v="1"/>
    <x v="0"/>
    <x v="1"/>
    <x v="2"/>
    <x v="687"/>
    <x v="11"/>
    <x v="689"/>
    <x v="22"/>
    <x v="687"/>
    <x v="3"/>
  </r>
  <r>
    <x v="199"/>
    <x v="691"/>
    <x v="2"/>
    <x v="0"/>
    <x v="2"/>
    <x v="17"/>
    <x v="688"/>
    <x v="6"/>
    <x v="690"/>
    <x v="5"/>
    <x v="688"/>
    <x v="0"/>
  </r>
  <r>
    <x v="146"/>
    <x v="692"/>
    <x v="0"/>
    <x v="4"/>
    <x v="1"/>
    <x v="1"/>
    <x v="689"/>
    <x v="1"/>
    <x v="691"/>
    <x v="18"/>
    <x v="689"/>
    <x v="3"/>
  </r>
  <r>
    <x v="184"/>
    <x v="693"/>
    <x v="1"/>
    <x v="0"/>
    <x v="1"/>
    <x v="1"/>
    <x v="690"/>
    <x v="13"/>
    <x v="692"/>
    <x v="8"/>
    <x v="690"/>
    <x v="0"/>
  </r>
  <r>
    <x v="208"/>
    <x v="694"/>
    <x v="2"/>
    <x v="1"/>
    <x v="3"/>
    <x v="10"/>
    <x v="691"/>
    <x v="11"/>
    <x v="693"/>
    <x v="11"/>
    <x v="691"/>
    <x v="2"/>
  </r>
  <r>
    <x v="102"/>
    <x v="695"/>
    <x v="3"/>
    <x v="3"/>
    <x v="3"/>
    <x v="9"/>
    <x v="692"/>
    <x v="14"/>
    <x v="694"/>
    <x v="1"/>
    <x v="692"/>
    <x v="2"/>
  </r>
  <r>
    <x v="313"/>
    <x v="696"/>
    <x v="1"/>
    <x v="3"/>
    <x v="1"/>
    <x v="3"/>
    <x v="693"/>
    <x v="12"/>
    <x v="695"/>
    <x v="6"/>
    <x v="693"/>
    <x v="2"/>
  </r>
  <r>
    <x v="314"/>
    <x v="697"/>
    <x v="1"/>
    <x v="0"/>
    <x v="0"/>
    <x v="0"/>
    <x v="694"/>
    <x v="4"/>
    <x v="696"/>
    <x v="24"/>
    <x v="694"/>
    <x v="1"/>
  </r>
  <r>
    <x v="216"/>
    <x v="698"/>
    <x v="2"/>
    <x v="4"/>
    <x v="2"/>
    <x v="17"/>
    <x v="695"/>
    <x v="6"/>
    <x v="697"/>
    <x v="9"/>
    <x v="695"/>
    <x v="1"/>
  </r>
  <r>
    <x v="315"/>
    <x v="699"/>
    <x v="2"/>
    <x v="0"/>
    <x v="1"/>
    <x v="3"/>
    <x v="696"/>
    <x v="7"/>
    <x v="698"/>
    <x v="23"/>
    <x v="696"/>
    <x v="3"/>
  </r>
  <r>
    <x v="234"/>
    <x v="700"/>
    <x v="0"/>
    <x v="2"/>
    <x v="3"/>
    <x v="15"/>
    <x v="697"/>
    <x v="9"/>
    <x v="699"/>
    <x v="21"/>
    <x v="697"/>
    <x v="0"/>
  </r>
  <r>
    <x v="68"/>
    <x v="701"/>
    <x v="1"/>
    <x v="4"/>
    <x v="1"/>
    <x v="1"/>
    <x v="698"/>
    <x v="6"/>
    <x v="700"/>
    <x v="29"/>
    <x v="698"/>
    <x v="2"/>
  </r>
  <r>
    <x v="159"/>
    <x v="702"/>
    <x v="0"/>
    <x v="1"/>
    <x v="1"/>
    <x v="3"/>
    <x v="699"/>
    <x v="14"/>
    <x v="701"/>
    <x v="12"/>
    <x v="699"/>
    <x v="3"/>
  </r>
  <r>
    <x v="11"/>
    <x v="703"/>
    <x v="1"/>
    <x v="4"/>
    <x v="1"/>
    <x v="1"/>
    <x v="700"/>
    <x v="1"/>
    <x v="702"/>
    <x v="10"/>
    <x v="700"/>
    <x v="1"/>
  </r>
  <r>
    <x v="252"/>
    <x v="704"/>
    <x v="1"/>
    <x v="0"/>
    <x v="3"/>
    <x v="14"/>
    <x v="701"/>
    <x v="3"/>
    <x v="703"/>
    <x v="9"/>
    <x v="701"/>
    <x v="3"/>
  </r>
  <r>
    <x v="183"/>
    <x v="705"/>
    <x v="1"/>
    <x v="4"/>
    <x v="1"/>
    <x v="5"/>
    <x v="702"/>
    <x v="1"/>
    <x v="704"/>
    <x v="25"/>
    <x v="702"/>
    <x v="1"/>
  </r>
  <r>
    <x v="104"/>
    <x v="706"/>
    <x v="0"/>
    <x v="4"/>
    <x v="2"/>
    <x v="6"/>
    <x v="703"/>
    <x v="3"/>
    <x v="705"/>
    <x v="1"/>
    <x v="703"/>
    <x v="3"/>
  </r>
  <r>
    <x v="21"/>
    <x v="707"/>
    <x v="0"/>
    <x v="0"/>
    <x v="2"/>
    <x v="17"/>
    <x v="704"/>
    <x v="1"/>
    <x v="706"/>
    <x v="5"/>
    <x v="704"/>
    <x v="3"/>
  </r>
  <r>
    <x v="134"/>
    <x v="708"/>
    <x v="3"/>
    <x v="1"/>
    <x v="2"/>
    <x v="6"/>
    <x v="705"/>
    <x v="6"/>
    <x v="707"/>
    <x v="7"/>
    <x v="705"/>
    <x v="1"/>
  </r>
  <r>
    <x v="93"/>
    <x v="709"/>
    <x v="1"/>
    <x v="1"/>
    <x v="1"/>
    <x v="16"/>
    <x v="706"/>
    <x v="0"/>
    <x v="708"/>
    <x v="18"/>
    <x v="706"/>
    <x v="0"/>
  </r>
  <r>
    <x v="147"/>
    <x v="710"/>
    <x v="3"/>
    <x v="0"/>
    <x v="1"/>
    <x v="1"/>
    <x v="707"/>
    <x v="2"/>
    <x v="709"/>
    <x v="16"/>
    <x v="707"/>
    <x v="0"/>
  </r>
  <r>
    <x v="71"/>
    <x v="711"/>
    <x v="0"/>
    <x v="4"/>
    <x v="2"/>
    <x v="17"/>
    <x v="708"/>
    <x v="5"/>
    <x v="710"/>
    <x v="21"/>
    <x v="708"/>
    <x v="3"/>
  </r>
  <r>
    <x v="9"/>
    <x v="712"/>
    <x v="1"/>
    <x v="4"/>
    <x v="0"/>
    <x v="19"/>
    <x v="709"/>
    <x v="3"/>
    <x v="711"/>
    <x v="16"/>
    <x v="709"/>
    <x v="3"/>
  </r>
  <r>
    <x v="54"/>
    <x v="713"/>
    <x v="1"/>
    <x v="1"/>
    <x v="3"/>
    <x v="12"/>
    <x v="710"/>
    <x v="3"/>
    <x v="712"/>
    <x v="2"/>
    <x v="710"/>
    <x v="1"/>
  </r>
  <r>
    <x v="52"/>
    <x v="714"/>
    <x v="2"/>
    <x v="3"/>
    <x v="0"/>
    <x v="0"/>
    <x v="711"/>
    <x v="13"/>
    <x v="713"/>
    <x v="15"/>
    <x v="711"/>
    <x v="1"/>
  </r>
  <r>
    <x v="296"/>
    <x v="715"/>
    <x v="3"/>
    <x v="1"/>
    <x v="1"/>
    <x v="5"/>
    <x v="712"/>
    <x v="13"/>
    <x v="714"/>
    <x v="13"/>
    <x v="712"/>
    <x v="3"/>
  </r>
  <r>
    <x v="210"/>
    <x v="716"/>
    <x v="3"/>
    <x v="0"/>
    <x v="1"/>
    <x v="5"/>
    <x v="713"/>
    <x v="4"/>
    <x v="715"/>
    <x v="10"/>
    <x v="713"/>
    <x v="2"/>
  </r>
  <r>
    <x v="59"/>
    <x v="717"/>
    <x v="3"/>
    <x v="2"/>
    <x v="2"/>
    <x v="6"/>
    <x v="714"/>
    <x v="11"/>
    <x v="716"/>
    <x v="8"/>
    <x v="714"/>
    <x v="2"/>
  </r>
  <r>
    <x v="115"/>
    <x v="718"/>
    <x v="0"/>
    <x v="0"/>
    <x v="3"/>
    <x v="14"/>
    <x v="715"/>
    <x v="10"/>
    <x v="717"/>
    <x v="4"/>
    <x v="715"/>
    <x v="0"/>
  </r>
  <r>
    <x v="248"/>
    <x v="719"/>
    <x v="1"/>
    <x v="2"/>
    <x v="0"/>
    <x v="19"/>
    <x v="716"/>
    <x v="12"/>
    <x v="718"/>
    <x v="8"/>
    <x v="716"/>
    <x v="0"/>
  </r>
  <r>
    <x v="29"/>
    <x v="720"/>
    <x v="3"/>
    <x v="0"/>
    <x v="0"/>
    <x v="0"/>
    <x v="717"/>
    <x v="10"/>
    <x v="719"/>
    <x v="0"/>
    <x v="717"/>
    <x v="1"/>
  </r>
  <r>
    <x v="5"/>
    <x v="721"/>
    <x v="1"/>
    <x v="2"/>
    <x v="2"/>
    <x v="17"/>
    <x v="718"/>
    <x v="10"/>
    <x v="720"/>
    <x v="10"/>
    <x v="718"/>
    <x v="1"/>
  </r>
  <r>
    <x v="160"/>
    <x v="722"/>
    <x v="2"/>
    <x v="3"/>
    <x v="2"/>
    <x v="8"/>
    <x v="719"/>
    <x v="4"/>
    <x v="721"/>
    <x v="8"/>
    <x v="719"/>
    <x v="1"/>
  </r>
  <r>
    <x v="77"/>
    <x v="723"/>
    <x v="1"/>
    <x v="1"/>
    <x v="0"/>
    <x v="18"/>
    <x v="720"/>
    <x v="10"/>
    <x v="722"/>
    <x v="12"/>
    <x v="720"/>
    <x v="0"/>
  </r>
  <r>
    <x v="316"/>
    <x v="724"/>
    <x v="0"/>
    <x v="1"/>
    <x v="0"/>
    <x v="7"/>
    <x v="721"/>
    <x v="13"/>
    <x v="723"/>
    <x v="6"/>
    <x v="721"/>
    <x v="1"/>
  </r>
  <r>
    <x v="21"/>
    <x v="725"/>
    <x v="2"/>
    <x v="3"/>
    <x v="1"/>
    <x v="3"/>
    <x v="722"/>
    <x v="6"/>
    <x v="724"/>
    <x v="1"/>
    <x v="722"/>
    <x v="0"/>
  </r>
  <r>
    <x v="67"/>
    <x v="726"/>
    <x v="1"/>
    <x v="1"/>
    <x v="1"/>
    <x v="1"/>
    <x v="723"/>
    <x v="9"/>
    <x v="725"/>
    <x v="19"/>
    <x v="723"/>
    <x v="2"/>
  </r>
  <r>
    <x v="317"/>
    <x v="727"/>
    <x v="2"/>
    <x v="0"/>
    <x v="2"/>
    <x v="11"/>
    <x v="724"/>
    <x v="12"/>
    <x v="726"/>
    <x v="26"/>
    <x v="724"/>
    <x v="0"/>
  </r>
  <r>
    <x v="170"/>
    <x v="728"/>
    <x v="1"/>
    <x v="0"/>
    <x v="2"/>
    <x v="11"/>
    <x v="101"/>
    <x v="4"/>
    <x v="727"/>
    <x v="20"/>
    <x v="725"/>
    <x v="3"/>
  </r>
  <r>
    <x v="318"/>
    <x v="729"/>
    <x v="2"/>
    <x v="3"/>
    <x v="1"/>
    <x v="3"/>
    <x v="725"/>
    <x v="4"/>
    <x v="728"/>
    <x v="27"/>
    <x v="726"/>
    <x v="2"/>
  </r>
  <r>
    <x v="152"/>
    <x v="730"/>
    <x v="3"/>
    <x v="4"/>
    <x v="1"/>
    <x v="1"/>
    <x v="726"/>
    <x v="1"/>
    <x v="729"/>
    <x v="10"/>
    <x v="727"/>
    <x v="1"/>
  </r>
  <r>
    <x v="153"/>
    <x v="731"/>
    <x v="0"/>
    <x v="2"/>
    <x v="3"/>
    <x v="10"/>
    <x v="727"/>
    <x v="11"/>
    <x v="730"/>
    <x v="1"/>
    <x v="728"/>
    <x v="2"/>
  </r>
  <r>
    <x v="283"/>
    <x v="732"/>
    <x v="0"/>
    <x v="0"/>
    <x v="2"/>
    <x v="4"/>
    <x v="728"/>
    <x v="5"/>
    <x v="731"/>
    <x v="17"/>
    <x v="729"/>
    <x v="0"/>
  </r>
  <r>
    <x v="196"/>
    <x v="733"/>
    <x v="0"/>
    <x v="1"/>
    <x v="2"/>
    <x v="11"/>
    <x v="729"/>
    <x v="6"/>
    <x v="732"/>
    <x v="24"/>
    <x v="730"/>
    <x v="0"/>
  </r>
  <r>
    <x v="182"/>
    <x v="734"/>
    <x v="0"/>
    <x v="3"/>
    <x v="3"/>
    <x v="15"/>
    <x v="730"/>
    <x v="0"/>
    <x v="733"/>
    <x v="25"/>
    <x v="546"/>
    <x v="1"/>
  </r>
  <r>
    <x v="306"/>
    <x v="735"/>
    <x v="2"/>
    <x v="0"/>
    <x v="0"/>
    <x v="13"/>
    <x v="731"/>
    <x v="2"/>
    <x v="734"/>
    <x v="22"/>
    <x v="731"/>
    <x v="3"/>
  </r>
  <r>
    <x v="319"/>
    <x v="736"/>
    <x v="3"/>
    <x v="0"/>
    <x v="2"/>
    <x v="6"/>
    <x v="732"/>
    <x v="13"/>
    <x v="735"/>
    <x v="30"/>
    <x v="732"/>
    <x v="1"/>
  </r>
  <r>
    <x v="236"/>
    <x v="737"/>
    <x v="2"/>
    <x v="0"/>
    <x v="1"/>
    <x v="5"/>
    <x v="733"/>
    <x v="9"/>
    <x v="736"/>
    <x v="2"/>
    <x v="733"/>
    <x v="0"/>
  </r>
  <r>
    <x v="203"/>
    <x v="738"/>
    <x v="3"/>
    <x v="1"/>
    <x v="3"/>
    <x v="10"/>
    <x v="734"/>
    <x v="4"/>
    <x v="737"/>
    <x v="24"/>
    <x v="734"/>
    <x v="0"/>
  </r>
  <r>
    <x v="8"/>
    <x v="739"/>
    <x v="1"/>
    <x v="4"/>
    <x v="0"/>
    <x v="19"/>
    <x v="735"/>
    <x v="14"/>
    <x v="738"/>
    <x v="6"/>
    <x v="735"/>
    <x v="1"/>
  </r>
  <r>
    <x v="136"/>
    <x v="740"/>
    <x v="1"/>
    <x v="3"/>
    <x v="1"/>
    <x v="16"/>
    <x v="736"/>
    <x v="5"/>
    <x v="739"/>
    <x v="20"/>
    <x v="736"/>
    <x v="2"/>
  </r>
  <r>
    <x v="259"/>
    <x v="741"/>
    <x v="2"/>
    <x v="0"/>
    <x v="3"/>
    <x v="12"/>
    <x v="737"/>
    <x v="5"/>
    <x v="740"/>
    <x v="14"/>
    <x v="737"/>
    <x v="0"/>
  </r>
  <r>
    <x v="99"/>
    <x v="742"/>
    <x v="2"/>
    <x v="3"/>
    <x v="0"/>
    <x v="13"/>
    <x v="738"/>
    <x v="1"/>
    <x v="741"/>
    <x v="8"/>
    <x v="738"/>
    <x v="2"/>
  </r>
  <r>
    <x v="320"/>
    <x v="743"/>
    <x v="0"/>
    <x v="0"/>
    <x v="3"/>
    <x v="15"/>
    <x v="739"/>
    <x v="8"/>
    <x v="742"/>
    <x v="29"/>
    <x v="739"/>
    <x v="2"/>
  </r>
  <r>
    <x v="229"/>
    <x v="744"/>
    <x v="1"/>
    <x v="3"/>
    <x v="3"/>
    <x v="12"/>
    <x v="740"/>
    <x v="5"/>
    <x v="743"/>
    <x v="5"/>
    <x v="740"/>
    <x v="3"/>
  </r>
  <r>
    <x v="104"/>
    <x v="745"/>
    <x v="3"/>
    <x v="3"/>
    <x v="0"/>
    <x v="18"/>
    <x v="741"/>
    <x v="0"/>
    <x v="744"/>
    <x v="19"/>
    <x v="741"/>
    <x v="1"/>
  </r>
  <r>
    <x v="316"/>
    <x v="746"/>
    <x v="1"/>
    <x v="0"/>
    <x v="3"/>
    <x v="15"/>
    <x v="742"/>
    <x v="13"/>
    <x v="745"/>
    <x v="27"/>
    <x v="742"/>
    <x v="0"/>
  </r>
  <r>
    <x v="18"/>
    <x v="747"/>
    <x v="3"/>
    <x v="4"/>
    <x v="3"/>
    <x v="14"/>
    <x v="743"/>
    <x v="9"/>
    <x v="746"/>
    <x v="7"/>
    <x v="743"/>
    <x v="1"/>
  </r>
  <r>
    <x v="321"/>
    <x v="748"/>
    <x v="1"/>
    <x v="0"/>
    <x v="0"/>
    <x v="18"/>
    <x v="744"/>
    <x v="5"/>
    <x v="747"/>
    <x v="24"/>
    <x v="744"/>
    <x v="1"/>
  </r>
  <r>
    <x v="123"/>
    <x v="749"/>
    <x v="2"/>
    <x v="4"/>
    <x v="2"/>
    <x v="11"/>
    <x v="745"/>
    <x v="13"/>
    <x v="748"/>
    <x v="7"/>
    <x v="745"/>
    <x v="1"/>
  </r>
  <r>
    <x v="297"/>
    <x v="750"/>
    <x v="1"/>
    <x v="3"/>
    <x v="3"/>
    <x v="10"/>
    <x v="746"/>
    <x v="2"/>
    <x v="749"/>
    <x v="22"/>
    <x v="746"/>
    <x v="3"/>
  </r>
  <r>
    <x v="255"/>
    <x v="751"/>
    <x v="1"/>
    <x v="1"/>
    <x v="2"/>
    <x v="8"/>
    <x v="747"/>
    <x v="12"/>
    <x v="750"/>
    <x v="13"/>
    <x v="747"/>
    <x v="0"/>
  </r>
  <r>
    <x v="30"/>
    <x v="752"/>
    <x v="2"/>
    <x v="3"/>
    <x v="0"/>
    <x v="18"/>
    <x v="748"/>
    <x v="13"/>
    <x v="751"/>
    <x v="20"/>
    <x v="490"/>
    <x v="0"/>
  </r>
  <r>
    <x v="89"/>
    <x v="753"/>
    <x v="1"/>
    <x v="3"/>
    <x v="2"/>
    <x v="8"/>
    <x v="749"/>
    <x v="9"/>
    <x v="752"/>
    <x v="7"/>
    <x v="748"/>
    <x v="2"/>
  </r>
  <r>
    <x v="319"/>
    <x v="754"/>
    <x v="1"/>
    <x v="4"/>
    <x v="2"/>
    <x v="8"/>
    <x v="750"/>
    <x v="8"/>
    <x v="753"/>
    <x v="17"/>
    <x v="749"/>
    <x v="3"/>
  </r>
  <r>
    <x v="234"/>
    <x v="755"/>
    <x v="1"/>
    <x v="4"/>
    <x v="1"/>
    <x v="2"/>
    <x v="751"/>
    <x v="5"/>
    <x v="754"/>
    <x v="30"/>
    <x v="750"/>
    <x v="0"/>
  </r>
  <r>
    <x v="102"/>
    <x v="756"/>
    <x v="3"/>
    <x v="2"/>
    <x v="0"/>
    <x v="7"/>
    <x v="752"/>
    <x v="7"/>
    <x v="755"/>
    <x v="24"/>
    <x v="731"/>
    <x v="2"/>
  </r>
  <r>
    <x v="110"/>
    <x v="757"/>
    <x v="1"/>
    <x v="2"/>
    <x v="1"/>
    <x v="16"/>
    <x v="753"/>
    <x v="10"/>
    <x v="756"/>
    <x v="12"/>
    <x v="751"/>
    <x v="3"/>
  </r>
  <r>
    <x v="320"/>
    <x v="758"/>
    <x v="2"/>
    <x v="2"/>
    <x v="3"/>
    <x v="15"/>
    <x v="754"/>
    <x v="1"/>
    <x v="757"/>
    <x v="23"/>
    <x v="752"/>
    <x v="0"/>
  </r>
  <r>
    <x v="176"/>
    <x v="759"/>
    <x v="3"/>
    <x v="0"/>
    <x v="1"/>
    <x v="2"/>
    <x v="755"/>
    <x v="7"/>
    <x v="758"/>
    <x v="2"/>
    <x v="753"/>
    <x v="1"/>
  </r>
  <r>
    <x v="39"/>
    <x v="760"/>
    <x v="2"/>
    <x v="3"/>
    <x v="0"/>
    <x v="19"/>
    <x v="756"/>
    <x v="13"/>
    <x v="759"/>
    <x v="16"/>
    <x v="754"/>
    <x v="0"/>
  </r>
  <r>
    <x v="212"/>
    <x v="761"/>
    <x v="0"/>
    <x v="2"/>
    <x v="0"/>
    <x v="0"/>
    <x v="757"/>
    <x v="1"/>
    <x v="760"/>
    <x v="5"/>
    <x v="755"/>
    <x v="3"/>
  </r>
  <r>
    <x v="208"/>
    <x v="762"/>
    <x v="2"/>
    <x v="1"/>
    <x v="2"/>
    <x v="8"/>
    <x v="758"/>
    <x v="4"/>
    <x v="761"/>
    <x v="20"/>
    <x v="756"/>
    <x v="1"/>
  </r>
  <r>
    <x v="112"/>
    <x v="763"/>
    <x v="3"/>
    <x v="0"/>
    <x v="2"/>
    <x v="11"/>
    <x v="759"/>
    <x v="10"/>
    <x v="762"/>
    <x v="29"/>
    <x v="757"/>
    <x v="1"/>
  </r>
  <r>
    <x v="322"/>
    <x v="764"/>
    <x v="1"/>
    <x v="4"/>
    <x v="1"/>
    <x v="1"/>
    <x v="760"/>
    <x v="11"/>
    <x v="763"/>
    <x v="18"/>
    <x v="758"/>
    <x v="0"/>
  </r>
  <r>
    <x v="188"/>
    <x v="765"/>
    <x v="3"/>
    <x v="2"/>
    <x v="1"/>
    <x v="3"/>
    <x v="761"/>
    <x v="0"/>
    <x v="764"/>
    <x v="22"/>
    <x v="759"/>
    <x v="3"/>
  </r>
  <r>
    <x v="323"/>
    <x v="766"/>
    <x v="1"/>
    <x v="4"/>
    <x v="3"/>
    <x v="14"/>
    <x v="762"/>
    <x v="0"/>
    <x v="765"/>
    <x v="6"/>
    <x v="760"/>
    <x v="3"/>
  </r>
  <r>
    <x v="69"/>
    <x v="767"/>
    <x v="1"/>
    <x v="2"/>
    <x v="1"/>
    <x v="16"/>
    <x v="763"/>
    <x v="4"/>
    <x v="766"/>
    <x v="2"/>
    <x v="761"/>
    <x v="2"/>
  </r>
  <r>
    <x v="123"/>
    <x v="768"/>
    <x v="1"/>
    <x v="0"/>
    <x v="1"/>
    <x v="3"/>
    <x v="764"/>
    <x v="0"/>
    <x v="767"/>
    <x v="7"/>
    <x v="762"/>
    <x v="0"/>
  </r>
  <r>
    <x v="213"/>
    <x v="769"/>
    <x v="0"/>
    <x v="2"/>
    <x v="0"/>
    <x v="13"/>
    <x v="765"/>
    <x v="0"/>
    <x v="768"/>
    <x v="29"/>
    <x v="763"/>
    <x v="3"/>
  </r>
  <r>
    <x v="261"/>
    <x v="770"/>
    <x v="3"/>
    <x v="3"/>
    <x v="2"/>
    <x v="4"/>
    <x v="766"/>
    <x v="0"/>
    <x v="769"/>
    <x v="13"/>
    <x v="764"/>
    <x v="1"/>
  </r>
  <r>
    <x v="138"/>
    <x v="771"/>
    <x v="1"/>
    <x v="0"/>
    <x v="1"/>
    <x v="2"/>
    <x v="338"/>
    <x v="3"/>
    <x v="770"/>
    <x v="29"/>
    <x v="765"/>
    <x v="1"/>
  </r>
  <r>
    <x v="265"/>
    <x v="772"/>
    <x v="1"/>
    <x v="1"/>
    <x v="0"/>
    <x v="0"/>
    <x v="767"/>
    <x v="3"/>
    <x v="771"/>
    <x v="8"/>
    <x v="766"/>
    <x v="0"/>
  </r>
  <r>
    <x v="130"/>
    <x v="773"/>
    <x v="3"/>
    <x v="4"/>
    <x v="2"/>
    <x v="11"/>
    <x v="768"/>
    <x v="4"/>
    <x v="772"/>
    <x v="15"/>
    <x v="767"/>
    <x v="0"/>
  </r>
  <r>
    <x v="301"/>
    <x v="774"/>
    <x v="2"/>
    <x v="3"/>
    <x v="1"/>
    <x v="5"/>
    <x v="769"/>
    <x v="9"/>
    <x v="773"/>
    <x v="12"/>
    <x v="768"/>
    <x v="2"/>
  </r>
  <r>
    <x v="276"/>
    <x v="775"/>
    <x v="0"/>
    <x v="2"/>
    <x v="0"/>
    <x v="13"/>
    <x v="770"/>
    <x v="0"/>
    <x v="774"/>
    <x v="1"/>
    <x v="769"/>
    <x v="3"/>
  </r>
  <r>
    <x v="269"/>
    <x v="776"/>
    <x v="0"/>
    <x v="2"/>
    <x v="0"/>
    <x v="0"/>
    <x v="771"/>
    <x v="0"/>
    <x v="775"/>
    <x v="8"/>
    <x v="770"/>
    <x v="3"/>
  </r>
  <r>
    <x v="267"/>
    <x v="777"/>
    <x v="2"/>
    <x v="1"/>
    <x v="3"/>
    <x v="15"/>
    <x v="772"/>
    <x v="8"/>
    <x v="776"/>
    <x v="27"/>
    <x v="771"/>
    <x v="0"/>
  </r>
  <r>
    <x v="252"/>
    <x v="778"/>
    <x v="0"/>
    <x v="4"/>
    <x v="0"/>
    <x v="13"/>
    <x v="773"/>
    <x v="9"/>
    <x v="777"/>
    <x v="4"/>
    <x v="772"/>
    <x v="0"/>
  </r>
  <r>
    <x v="171"/>
    <x v="779"/>
    <x v="0"/>
    <x v="4"/>
    <x v="3"/>
    <x v="10"/>
    <x v="774"/>
    <x v="5"/>
    <x v="778"/>
    <x v="26"/>
    <x v="773"/>
    <x v="3"/>
  </r>
  <r>
    <x v="26"/>
    <x v="780"/>
    <x v="0"/>
    <x v="2"/>
    <x v="1"/>
    <x v="16"/>
    <x v="775"/>
    <x v="13"/>
    <x v="779"/>
    <x v="25"/>
    <x v="774"/>
    <x v="3"/>
  </r>
  <r>
    <x v="145"/>
    <x v="781"/>
    <x v="3"/>
    <x v="1"/>
    <x v="2"/>
    <x v="4"/>
    <x v="776"/>
    <x v="9"/>
    <x v="780"/>
    <x v="14"/>
    <x v="775"/>
    <x v="2"/>
  </r>
  <r>
    <x v="324"/>
    <x v="782"/>
    <x v="0"/>
    <x v="0"/>
    <x v="1"/>
    <x v="1"/>
    <x v="340"/>
    <x v="13"/>
    <x v="781"/>
    <x v="29"/>
    <x v="776"/>
    <x v="2"/>
  </r>
  <r>
    <x v="73"/>
    <x v="783"/>
    <x v="0"/>
    <x v="4"/>
    <x v="3"/>
    <x v="9"/>
    <x v="777"/>
    <x v="2"/>
    <x v="782"/>
    <x v="3"/>
    <x v="777"/>
    <x v="0"/>
  </r>
  <r>
    <x v="143"/>
    <x v="784"/>
    <x v="0"/>
    <x v="0"/>
    <x v="0"/>
    <x v="0"/>
    <x v="778"/>
    <x v="10"/>
    <x v="783"/>
    <x v="29"/>
    <x v="778"/>
    <x v="3"/>
  </r>
  <r>
    <x v="73"/>
    <x v="785"/>
    <x v="3"/>
    <x v="4"/>
    <x v="2"/>
    <x v="8"/>
    <x v="779"/>
    <x v="0"/>
    <x v="784"/>
    <x v="1"/>
    <x v="779"/>
    <x v="0"/>
  </r>
  <r>
    <x v="325"/>
    <x v="786"/>
    <x v="3"/>
    <x v="0"/>
    <x v="2"/>
    <x v="6"/>
    <x v="780"/>
    <x v="2"/>
    <x v="785"/>
    <x v="5"/>
    <x v="780"/>
    <x v="3"/>
  </r>
  <r>
    <x v="324"/>
    <x v="787"/>
    <x v="0"/>
    <x v="4"/>
    <x v="3"/>
    <x v="15"/>
    <x v="781"/>
    <x v="10"/>
    <x v="786"/>
    <x v="17"/>
    <x v="781"/>
    <x v="3"/>
  </r>
  <r>
    <x v="326"/>
    <x v="788"/>
    <x v="1"/>
    <x v="1"/>
    <x v="1"/>
    <x v="1"/>
    <x v="782"/>
    <x v="0"/>
    <x v="787"/>
    <x v="15"/>
    <x v="782"/>
    <x v="2"/>
  </r>
  <r>
    <x v="233"/>
    <x v="789"/>
    <x v="1"/>
    <x v="4"/>
    <x v="1"/>
    <x v="16"/>
    <x v="783"/>
    <x v="11"/>
    <x v="788"/>
    <x v="8"/>
    <x v="783"/>
    <x v="2"/>
  </r>
  <r>
    <x v="264"/>
    <x v="790"/>
    <x v="0"/>
    <x v="4"/>
    <x v="3"/>
    <x v="15"/>
    <x v="784"/>
    <x v="5"/>
    <x v="789"/>
    <x v="25"/>
    <x v="784"/>
    <x v="0"/>
  </r>
  <r>
    <x v="120"/>
    <x v="791"/>
    <x v="2"/>
    <x v="2"/>
    <x v="2"/>
    <x v="17"/>
    <x v="785"/>
    <x v="6"/>
    <x v="790"/>
    <x v="19"/>
    <x v="785"/>
    <x v="3"/>
  </r>
  <r>
    <x v="271"/>
    <x v="792"/>
    <x v="1"/>
    <x v="1"/>
    <x v="2"/>
    <x v="17"/>
    <x v="786"/>
    <x v="2"/>
    <x v="791"/>
    <x v="26"/>
    <x v="786"/>
    <x v="2"/>
  </r>
  <r>
    <x v="88"/>
    <x v="793"/>
    <x v="0"/>
    <x v="0"/>
    <x v="1"/>
    <x v="2"/>
    <x v="787"/>
    <x v="14"/>
    <x v="792"/>
    <x v="15"/>
    <x v="787"/>
    <x v="0"/>
  </r>
  <r>
    <x v="284"/>
    <x v="794"/>
    <x v="0"/>
    <x v="0"/>
    <x v="0"/>
    <x v="13"/>
    <x v="788"/>
    <x v="0"/>
    <x v="793"/>
    <x v="14"/>
    <x v="788"/>
    <x v="1"/>
  </r>
  <r>
    <x v="179"/>
    <x v="795"/>
    <x v="2"/>
    <x v="1"/>
    <x v="1"/>
    <x v="16"/>
    <x v="789"/>
    <x v="11"/>
    <x v="794"/>
    <x v="8"/>
    <x v="789"/>
    <x v="0"/>
  </r>
  <r>
    <x v="327"/>
    <x v="796"/>
    <x v="2"/>
    <x v="2"/>
    <x v="2"/>
    <x v="8"/>
    <x v="790"/>
    <x v="0"/>
    <x v="795"/>
    <x v="12"/>
    <x v="790"/>
    <x v="0"/>
  </r>
  <r>
    <x v="111"/>
    <x v="797"/>
    <x v="2"/>
    <x v="3"/>
    <x v="1"/>
    <x v="1"/>
    <x v="791"/>
    <x v="6"/>
    <x v="796"/>
    <x v="16"/>
    <x v="791"/>
    <x v="2"/>
  </r>
  <r>
    <x v="146"/>
    <x v="798"/>
    <x v="2"/>
    <x v="4"/>
    <x v="3"/>
    <x v="10"/>
    <x v="792"/>
    <x v="7"/>
    <x v="797"/>
    <x v="28"/>
    <x v="792"/>
    <x v="0"/>
  </r>
  <r>
    <x v="311"/>
    <x v="799"/>
    <x v="1"/>
    <x v="3"/>
    <x v="2"/>
    <x v="11"/>
    <x v="793"/>
    <x v="13"/>
    <x v="798"/>
    <x v="24"/>
    <x v="793"/>
    <x v="3"/>
  </r>
  <r>
    <x v="13"/>
    <x v="800"/>
    <x v="0"/>
    <x v="4"/>
    <x v="1"/>
    <x v="5"/>
    <x v="794"/>
    <x v="11"/>
    <x v="799"/>
    <x v="8"/>
    <x v="794"/>
    <x v="3"/>
  </r>
  <r>
    <x v="161"/>
    <x v="801"/>
    <x v="0"/>
    <x v="3"/>
    <x v="1"/>
    <x v="1"/>
    <x v="795"/>
    <x v="8"/>
    <x v="800"/>
    <x v="9"/>
    <x v="795"/>
    <x v="3"/>
  </r>
  <r>
    <x v="328"/>
    <x v="802"/>
    <x v="2"/>
    <x v="4"/>
    <x v="1"/>
    <x v="1"/>
    <x v="796"/>
    <x v="1"/>
    <x v="801"/>
    <x v="19"/>
    <x v="796"/>
    <x v="1"/>
  </r>
  <r>
    <x v="294"/>
    <x v="803"/>
    <x v="2"/>
    <x v="2"/>
    <x v="1"/>
    <x v="2"/>
    <x v="797"/>
    <x v="5"/>
    <x v="802"/>
    <x v="9"/>
    <x v="797"/>
    <x v="1"/>
  </r>
  <r>
    <x v="16"/>
    <x v="804"/>
    <x v="0"/>
    <x v="3"/>
    <x v="2"/>
    <x v="6"/>
    <x v="798"/>
    <x v="13"/>
    <x v="803"/>
    <x v="4"/>
    <x v="206"/>
    <x v="3"/>
  </r>
  <r>
    <x v="151"/>
    <x v="805"/>
    <x v="3"/>
    <x v="3"/>
    <x v="2"/>
    <x v="17"/>
    <x v="799"/>
    <x v="4"/>
    <x v="804"/>
    <x v="19"/>
    <x v="798"/>
    <x v="0"/>
  </r>
  <r>
    <x v="329"/>
    <x v="806"/>
    <x v="1"/>
    <x v="3"/>
    <x v="1"/>
    <x v="16"/>
    <x v="800"/>
    <x v="7"/>
    <x v="805"/>
    <x v="21"/>
    <x v="799"/>
    <x v="2"/>
  </r>
  <r>
    <x v="215"/>
    <x v="807"/>
    <x v="1"/>
    <x v="2"/>
    <x v="0"/>
    <x v="0"/>
    <x v="801"/>
    <x v="4"/>
    <x v="806"/>
    <x v="10"/>
    <x v="800"/>
    <x v="0"/>
  </r>
  <r>
    <x v="113"/>
    <x v="808"/>
    <x v="2"/>
    <x v="0"/>
    <x v="2"/>
    <x v="11"/>
    <x v="802"/>
    <x v="13"/>
    <x v="807"/>
    <x v="6"/>
    <x v="801"/>
    <x v="1"/>
  </r>
  <r>
    <x v="196"/>
    <x v="809"/>
    <x v="1"/>
    <x v="0"/>
    <x v="0"/>
    <x v="0"/>
    <x v="803"/>
    <x v="12"/>
    <x v="808"/>
    <x v="10"/>
    <x v="802"/>
    <x v="3"/>
  </r>
  <r>
    <x v="173"/>
    <x v="810"/>
    <x v="2"/>
    <x v="3"/>
    <x v="2"/>
    <x v="6"/>
    <x v="804"/>
    <x v="0"/>
    <x v="809"/>
    <x v="25"/>
    <x v="803"/>
    <x v="2"/>
  </r>
  <r>
    <x v="183"/>
    <x v="811"/>
    <x v="0"/>
    <x v="1"/>
    <x v="2"/>
    <x v="11"/>
    <x v="805"/>
    <x v="13"/>
    <x v="810"/>
    <x v="21"/>
    <x v="804"/>
    <x v="0"/>
  </r>
  <r>
    <x v="259"/>
    <x v="812"/>
    <x v="3"/>
    <x v="2"/>
    <x v="0"/>
    <x v="7"/>
    <x v="806"/>
    <x v="3"/>
    <x v="811"/>
    <x v="19"/>
    <x v="805"/>
    <x v="1"/>
  </r>
  <r>
    <x v="130"/>
    <x v="813"/>
    <x v="1"/>
    <x v="2"/>
    <x v="3"/>
    <x v="14"/>
    <x v="807"/>
    <x v="13"/>
    <x v="812"/>
    <x v="18"/>
    <x v="806"/>
    <x v="3"/>
  </r>
  <r>
    <x v="143"/>
    <x v="814"/>
    <x v="3"/>
    <x v="0"/>
    <x v="3"/>
    <x v="14"/>
    <x v="808"/>
    <x v="13"/>
    <x v="813"/>
    <x v="18"/>
    <x v="807"/>
    <x v="3"/>
  </r>
  <r>
    <x v="102"/>
    <x v="815"/>
    <x v="0"/>
    <x v="3"/>
    <x v="1"/>
    <x v="2"/>
    <x v="809"/>
    <x v="1"/>
    <x v="814"/>
    <x v="17"/>
    <x v="808"/>
    <x v="0"/>
  </r>
  <r>
    <x v="250"/>
    <x v="816"/>
    <x v="1"/>
    <x v="4"/>
    <x v="3"/>
    <x v="10"/>
    <x v="301"/>
    <x v="6"/>
    <x v="815"/>
    <x v="21"/>
    <x v="708"/>
    <x v="1"/>
  </r>
  <r>
    <x v="65"/>
    <x v="817"/>
    <x v="2"/>
    <x v="0"/>
    <x v="0"/>
    <x v="0"/>
    <x v="810"/>
    <x v="1"/>
    <x v="816"/>
    <x v="9"/>
    <x v="809"/>
    <x v="0"/>
  </r>
  <r>
    <x v="278"/>
    <x v="818"/>
    <x v="0"/>
    <x v="1"/>
    <x v="3"/>
    <x v="10"/>
    <x v="811"/>
    <x v="13"/>
    <x v="817"/>
    <x v="30"/>
    <x v="810"/>
    <x v="0"/>
  </r>
  <r>
    <x v="288"/>
    <x v="819"/>
    <x v="3"/>
    <x v="2"/>
    <x v="0"/>
    <x v="13"/>
    <x v="812"/>
    <x v="6"/>
    <x v="818"/>
    <x v="16"/>
    <x v="811"/>
    <x v="3"/>
  </r>
  <r>
    <x v="148"/>
    <x v="820"/>
    <x v="0"/>
    <x v="1"/>
    <x v="0"/>
    <x v="7"/>
    <x v="813"/>
    <x v="13"/>
    <x v="819"/>
    <x v="6"/>
    <x v="812"/>
    <x v="2"/>
  </r>
  <r>
    <x v="229"/>
    <x v="821"/>
    <x v="1"/>
    <x v="3"/>
    <x v="3"/>
    <x v="9"/>
    <x v="814"/>
    <x v="5"/>
    <x v="820"/>
    <x v="19"/>
    <x v="813"/>
    <x v="1"/>
  </r>
  <r>
    <x v="0"/>
    <x v="822"/>
    <x v="2"/>
    <x v="1"/>
    <x v="0"/>
    <x v="18"/>
    <x v="815"/>
    <x v="10"/>
    <x v="821"/>
    <x v="24"/>
    <x v="814"/>
    <x v="0"/>
  </r>
  <r>
    <x v="259"/>
    <x v="823"/>
    <x v="2"/>
    <x v="2"/>
    <x v="2"/>
    <x v="11"/>
    <x v="816"/>
    <x v="14"/>
    <x v="822"/>
    <x v="15"/>
    <x v="815"/>
    <x v="2"/>
  </r>
  <r>
    <x v="330"/>
    <x v="824"/>
    <x v="3"/>
    <x v="0"/>
    <x v="0"/>
    <x v="13"/>
    <x v="817"/>
    <x v="13"/>
    <x v="823"/>
    <x v="26"/>
    <x v="816"/>
    <x v="0"/>
  </r>
  <r>
    <x v="82"/>
    <x v="825"/>
    <x v="1"/>
    <x v="2"/>
    <x v="3"/>
    <x v="9"/>
    <x v="818"/>
    <x v="3"/>
    <x v="824"/>
    <x v="11"/>
    <x v="817"/>
    <x v="2"/>
  </r>
  <r>
    <x v="155"/>
    <x v="826"/>
    <x v="2"/>
    <x v="2"/>
    <x v="2"/>
    <x v="6"/>
    <x v="819"/>
    <x v="13"/>
    <x v="825"/>
    <x v="0"/>
    <x v="818"/>
    <x v="3"/>
  </r>
  <r>
    <x v="51"/>
    <x v="827"/>
    <x v="1"/>
    <x v="2"/>
    <x v="1"/>
    <x v="2"/>
    <x v="820"/>
    <x v="10"/>
    <x v="826"/>
    <x v="26"/>
    <x v="819"/>
    <x v="2"/>
  </r>
  <r>
    <x v="22"/>
    <x v="828"/>
    <x v="1"/>
    <x v="4"/>
    <x v="1"/>
    <x v="5"/>
    <x v="821"/>
    <x v="12"/>
    <x v="827"/>
    <x v="24"/>
    <x v="820"/>
    <x v="2"/>
  </r>
  <r>
    <x v="55"/>
    <x v="829"/>
    <x v="1"/>
    <x v="1"/>
    <x v="3"/>
    <x v="10"/>
    <x v="822"/>
    <x v="8"/>
    <x v="828"/>
    <x v="20"/>
    <x v="821"/>
    <x v="3"/>
  </r>
  <r>
    <x v="230"/>
    <x v="830"/>
    <x v="2"/>
    <x v="0"/>
    <x v="2"/>
    <x v="11"/>
    <x v="823"/>
    <x v="6"/>
    <x v="829"/>
    <x v="27"/>
    <x v="822"/>
    <x v="2"/>
  </r>
  <r>
    <x v="180"/>
    <x v="831"/>
    <x v="1"/>
    <x v="4"/>
    <x v="1"/>
    <x v="5"/>
    <x v="824"/>
    <x v="5"/>
    <x v="830"/>
    <x v="0"/>
    <x v="823"/>
    <x v="0"/>
  </r>
  <r>
    <x v="331"/>
    <x v="832"/>
    <x v="2"/>
    <x v="3"/>
    <x v="3"/>
    <x v="15"/>
    <x v="825"/>
    <x v="12"/>
    <x v="831"/>
    <x v="29"/>
    <x v="824"/>
    <x v="0"/>
  </r>
  <r>
    <x v="226"/>
    <x v="833"/>
    <x v="3"/>
    <x v="4"/>
    <x v="3"/>
    <x v="12"/>
    <x v="826"/>
    <x v="0"/>
    <x v="832"/>
    <x v="29"/>
    <x v="825"/>
    <x v="2"/>
  </r>
  <r>
    <x v="332"/>
    <x v="834"/>
    <x v="0"/>
    <x v="3"/>
    <x v="0"/>
    <x v="18"/>
    <x v="827"/>
    <x v="10"/>
    <x v="833"/>
    <x v="3"/>
    <x v="826"/>
    <x v="2"/>
  </r>
  <r>
    <x v="299"/>
    <x v="835"/>
    <x v="0"/>
    <x v="3"/>
    <x v="0"/>
    <x v="0"/>
    <x v="828"/>
    <x v="12"/>
    <x v="834"/>
    <x v="1"/>
    <x v="827"/>
    <x v="1"/>
  </r>
  <r>
    <x v="254"/>
    <x v="836"/>
    <x v="1"/>
    <x v="4"/>
    <x v="2"/>
    <x v="4"/>
    <x v="829"/>
    <x v="5"/>
    <x v="835"/>
    <x v="24"/>
    <x v="828"/>
    <x v="0"/>
  </r>
  <r>
    <x v="136"/>
    <x v="837"/>
    <x v="1"/>
    <x v="2"/>
    <x v="2"/>
    <x v="6"/>
    <x v="830"/>
    <x v="13"/>
    <x v="836"/>
    <x v="27"/>
    <x v="829"/>
    <x v="2"/>
  </r>
  <r>
    <x v="96"/>
    <x v="838"/>
    <x v="2"/>
    <x v="3"/>
    <x v="2"/>
    <x v="8"/>
    <x v="831"/>
    <x v="10"/>
    <x v="837"/>
    <x v="6"/>
    <x v="830"/>
    <x v="3"/>
  </r>
  <r>
    <x v="251"/>
    <x v="839"/>
    <x v="3"/>
    <x v="2"/>
    <x v="2"/>
    <x v="6"/>
    <x v="832"/>
    <x v="7"/>
    <x v="838"/>
    <x v="3"/>
    <x v="831"/>
    <x v="1"/>
  </r>
  <r>
    <x v="215"/>
    <x v="840"/>
    <x v="3"/>
    <x v="4"/>
    <x v="0"/>
    <x v="18"/>
    <x v="833"/>
    <x v="5"/>
    <x v="839"/>
    <x v="22"/>
    <x v="832"/>
    <x v="3"/>
  </r>
  <r>
    <x v="333"/>
    <x v="841"/>
    <x v="3"/>
    <x v="2"/>
    <x v="2"/>
    <x v="17"/>
    <x v="834"/>
    <x v="1"/>
    <x v="840"/>
    <x v="6"/>
    <x v="833"/>
    <x v="0"/>
  </r>
  <r>
    <x v="196"/>
    <x v="842"/>
    <x v="0"/>
    <x v="3"/>
    <x v="3"/>
    <x v="9"/>
    <x v="835"/>
    <x v="11"/>
    <x v="841"/>
    <x v="8"/>
    <x v="834"/>
    <x v="0"/>
  </r>
  <r>
    <x v="334"/>
    <x v="843"/>
    <x v="1"/>
    <x v="0"/>
    <x v="3"/>
    <x v="14"/>
    <x v="836"/>
    <x v="7"/>
    <x v="842"/>
    <x v="4"/>
    <x v="835"/>
    <x v="2"/>
  </r>
  <r>
    <x v="70"/>
    <x v="844"/>
    <x v="2"/>
    <x v="1"/>
    <x v="2"/>
    <x v="8"/>
    <x v="837"/>
    <x v="5"/>
    <x v="843"/>
    <x v="26"/>
    <x v="836"/>
    <x v="1"/>
  </r>
  <r>
    <x v="13"/>
    <x v="845"/>
    <x v="2"/>
    <x v="2"/>
    <x v="2"/>
    <x v="6"/>
    <x v="675"/>
    <x v="6"/>
    <x v="844"/>
    <x v="8"/>
    <x v="837"/>
    <x v="1"/>
  </r>
  <r>
    <x v="197"/>
    <x v="846"/>
    <x v="1"/>
    <x v="2"/>
    <x v="2"/>
    <x v="8"/>
    <x v="838"/>
    <x v="1"/>
    <x v="845"/>
    <x v="15"/>
    <x v="838"/>
    <x v="2"/>
  </r>
  <r>
    <x v="183"/>
    <x v="847"/>
    <x v="0"/>
    <x v="3"/>
    <x v="3"/>
    <x v="12"/>
    <x v="839"/>
    <x v="13"/>
    <x v="846"/>
    <x v="15"/>
    <x v="839"/>
    <x v="2"/>
  </r>
  <r>
    <x v="233"/>
    <x v="848"/>
    <x v="2"/>
    <x v="1"/>
    <x v="3"/>
    <x v="9"/>
    <x v="840"/>
    <x v="11"/>
    <x v="847"/>
    <x v="24"/>
    <x v="840"/>
    <x v="2"/>
  </r>
  <r>
    <x v="335"/>
    <x v="849"/>
    <x v="1"/>
    <x v="2"/>
    <x v="0"/>
    <x v="18"/>
    <x v="841"/>
    <x v="10"/>
    <x v="848"/>
    <x v="29"/>
    <x v="841"/>
    <x v="0"/>
  </r>
  <r>
    <x v="327"/>
    <x v="850"/>
    <x v="0"/>
    <x v="1"/>
    <x v="0"/>
    <x v="13"/>
    <x v="842"/>
    <x v="3"/>
    <x v="849"/>
    <x v="0"/>
    <x v="842"/>
    <x v="3"/>
  </r>
  <r>
    <x v="225"/>
    <x v="851"/>
    <x v="1"/>
    <x v="4"/>
    <x v="0"/>
    <x v="19"/>
    <x v="843"/>
    <x v="2"/>
    <x v="850"/>
    <x v="29"/>
    <x v="843"/>
    <x v="2"/>
  </r>
  <r>
    <x v="133"/>
    <x v="852"/>
    <x v="3"/>
    <x v="3"/>
    <x v="0"/>
    <x v="13"/>
    <x v="844"/>
    <x v="14"/>
    <x v="851"/>
    <x v="18"/>
    <x v="844"/>
    <x v="1"/>
  </r>
  <r>
    <x v="140"/>
    <x v="853"/>
    <x v="1"/>
    <x v="3"/>
    <x v="3"/>
    <x v="12"/>
    <x v="845"/>
    <x v="8"/>
    <x v="852"/>
    <x v="21"/>
    <x v="845"/>
    <x v="3"/>
  </r>
  <r>
    <x v="71"/>
    <x v="854"/>
    <x v="3"/>
    <x v="0"/>
    <x v="0"/>
    <x v="7"/>
    <x v="846"/>
    <x v="0"/>
    <x v="853"/>
    <x v="24"/>
    <x v="846"/>
    <x v="1"/>
  </r>
  <r>
    <x v="336"/>
    <x v="855"/>
    <x v="2"/>
    <x v="0"/>
    <x v="2"/>
    <x v="17"/>
    <x v="847"/>
    <x v="2"/>
    <x v="854"/>
    <x v="23"/>
    <x v="847"/>
    <x v="3"/>
  </r>
  <r>
    <x v="316"/>
    <x v="856"/>
    <x v="0"/>
    <x v="2"/>
    <x v="0"/>
    <x v="19"/>
    <x v="848"/>
    <x v="9"/>
    <x v="855"/>
    <x v="20"/>
    <x v="848"/>
    <x v="1"/>
  </r>
  <r>
    <x v="291"/>
    <x v="857"/>
    <x v="3"/>
    <x v="3"/>
    <x v="1"/>
    <x v="3"/>
    <x v="849"/>
    <x v="14"/>
    <x v="856"/>
    <x v="28"/>
    <x v="849"/>
    <x v="0"/>
  </r>
  <r>
    <x v="199"/>
    <x v="858"/>
    <x v="0"/>
    <x v="1"/>
    <x v="3"/>
    <x v="10"/>
    <x v="850"/>
    <x v="2"/>
    <x v="857"/>
    <x v="6"/>
    <x v="850"/>
    <x v="2"/>
  </r>
  <r>
    <x v="337"/>
    <x v="859"/>
    <x v="1"/>
    <x v="3"/>
    <x v="0"/>
    <x v="18"/>
    <x v="851"/>
    <x v="0"/>
    <x v="858"/>
    <x v="21"/>
    <x v="851"/>
    <x v="2"/>
  </r>
  <r>
    <x v="188"/>
    <x v="860"/>
    <x v="3"/>
    <x v="0"/>
    <x v="0"/>
    <x v="0"/>
    <x v="852"/>
    <x v="3"/>
    <x v="859"/>
    <x v="11"/>
    <x v="852"/>
    <x v="2"/>
  </r>
  <r>
    <x v="218"/>
    <x v="861"/>
    <x v="1"/>
    <x v="0"/>
    <x v="1"/>
    <x v="5"/>
    <x v="853"/>
    <x v="0"/>
    <x v="860"/>
    <x v="11"/>
    <x v="853"/>
    <x v="2"/>
  </r>
  <r>
    <x v="145"/>
    <x v="862"/>
    <x v="3"/>
    <x v="1"/>
    <x v="2"/>
    <x v="8"/>
    <x v="854"/>
    <x v="5"/>
    <x v="861"/>
    <x v="9"/>
    <x v="854"/>
    <x v="1"/>
  </r>
  <r>
    <x v="54"/>
    <x v="863"/>
    <x v="3"/>
    <x v="1"/>
    <x v="2"/>
    <x v="11"/>
    <x v="855"/>
    <x v="10"/>
    <x v="862"/>
    <x v="2"/>
    <x v="855"/>
    <x v="2"/>
  </r>
  <r>
    <x v="338"/>
    <x v="864"/>
    <x v="1"/>
    <x v="2"/>
    <x v="3"/>
    <x v="9"/>
    <x v="856"/>
    <x v="6"/>
    <x v="863"/>
    <x v="2"/>
    <x v="856"/>
    <x v="0"/>
  </r>
  <r>
    <x v="180"/>
    <x v="865"/>
    <x v="0"/>
    <x v="3"/>
    <x v="0"/>
    <x v="13"/>
    <x v="857"/>
    <x v="4"/>
    <x v="864"/>
    <x v="19"/>
    <x v="857"/>
    <x v="2"/>
  </r>
  <r>
    <x v="96"/>
    <x v="866"/>
    <x v="3"/>
    <x v="2"/>
    <x v="0"/>
    <x v="13"/>
    <x v="858"/>
    <x v="7"/>
    <x v="865"/>
    <x v="14"/>
    <x v="858"/>
    <x v="3"/>
  </r>
  <r>
    <x v="290"/>
    <x v="867"/>
    <x v="2"/>
    <x v="2"/>
    <x v="1"/>
    <x v="5"/>
    <x v="859"/>
    <x v="3"/>
    <x v="866"/>
    <x v="13"/>
    <x v="859"/>
    <x v="2"/>
  </r>
  <r>
    <x v="262"/>
    <x v="868"/>
    <x v="2"/>
    <x v="0"/>
    <x v="2"/>
    <x v="6"/>
    <x v="860"/>
    <x v="10"/>
    <x v="867"/>
    <x v="5"/>
    <x v="860"/>
    <x v="3"/>
  </r>
  <r>
    <x v="237"/>
    <x v="869"/>
    <x v="1"/>
    <x v="0"/>
    <x v="3"/>
    <x v="9"/>
    <x v="861"/>
    <x v="8"/>
    <x v="868"/>
    <x v="8"/>
    <x v="861"/>
    <x v="0"/>
  </r>
  <r>
    <x v="44"/>
    <x v="870"/>
    <x v="2"/>
    <x v="4"/>
    <x v="0"/>
    <x v="18"/>
    <x v="862"/>
    <x v="3"/>
    <x v="869"/>
    <x v="4"/>
    <x v="862"/>
    <x v="2"/>
  </r>
  <r>
    <x v="328"/>
    <x v="871"/>
    <x v="0"/>
    <x v="2"/>
    <x v="2"/>
    <x v="17"/>
    <x v="863"/>
    <x v="14"/>
    <x v="870"/>
    <x v="9"/>
    <x v="863"/>
    <x v="2"/>
  </r>
  <r>
    <x v="215"/>
    <x v="872"/>
    <x v="3"/>
    <x v="0"/>
    <x v="2"/>
    <x v="4"/>
    <x v="864"/>
    <x v="8"/>
    <x v="871"/>
    <x v="17"/>
    <x v="864"/>
    <x v="3"/>
  </r>
  <r>
    <x v="170"/>
    <x v="873"/>
    <x v="0"/>
    <x v="1"/>
    <x v="2"/>
    <x v="11"/>
    <x v="865"/>
    <x v="12"/>
    <x v="872"/>
    <x v="20"/>
    <x v="865"/>
    <x v="0"/>
  </r>
  <r>
    <x v="75"/>
    <x v="874"/>
    <x v="1"/>
    <x v="4"/>
    <x v="3"/>
    <x v="14"/>
    <x v="866"/>
    <x v="11"/>
    <x v="873"/>
    <x v="6"/>
    <x v="866"/>
    <x v="1"/>
  </r>
  <r>
    <x v="276"/>
    <x v="875"/>
    <x v="2"/>
    <x v="4"/>
    <x v="2"/>
    <x v="11"/>
    <x v="867"/>
    <x v="6"/>
    <x v="874"/>
    <x v="7"/>
    <x v="867"/>
    <x v="0"/>
  </r>
  <r>
    <x v="317"/>
    <x v="876"/>
    <x v="3"/>
    <x v="1"/>
    <x v="2"/>
    <x v="11"/>
    <x v="516"/>
    <x v="8"/>
    <x v="875"/>
    <x v="19"/>
    <x v="868"/>
    <x v="1"/>
  </r>
  <r>
    <x v="38"/>
    <x v="877"/>
    <x v="2"/>
    <x v="4"/>
    <x v="2"/>
    <x v="4"/>
    <x v="868"/>
    <x v="11"/>
    <x v="876"/>
    <x v="27"/>
    <x v="869"/>
    <x v="1"/>
  </r>
  <r>
    <x v="339"/>
    <x v="878"/>
    <x v="1"/>
    <x v="0"/>
    <x v="1"/>
    <x v="1"/>
    <x v="869"/>
    <x v="8"/>
    <x v="877"/>
    <x v="30"/>
    <x v="870"/>
    <x v="0"/>
  </r>
  <r>
    <x v="332"/>
    <x v="879"/>
    <x v="0"/>
    <x v="3"/>
    <x v="2"/>
    <x v="6"/>
    <x v="870"/>
    <x v="12"/>
    <x v="878"/>
    <x v="14"/>
    <x v="871"/>
    <x v="3"/>
  </r>
  <r>
    <x v="42"/>
    <x v="880"/>
    <x v="1"/>
    <x v="0"/>
    <x v="0"/>
    <x v="18"/>
    <x v="871"/>
    <x v="2"/>
    <x v="879"/>
    <x v="30"/>
    <x v="872"/>
    <x v="0"/>
  </r>
  <r>
    <x v="208"/>
    <x v="881"/>
    <x v="0"/>
    <x v="3"/>
    <x v="3"/>
    <x v="10"/>
    <x v="872"/>
    <x v="12"/>
    <x v="880"/>
    <x v="25"/>
    <x v="873"/>
    <x v="2"/>
  </r>
  <r>
    <x v="112"/>
    <x v="882"/>
    <x v="2"/>
    <x v="0"/>
    <x v="0"/>
    <x v="18"/>
    <x v="873"/>
    <x v="9"/>
    <x v="881"/>
    <x v="28"/>
    <x v="874"/>
    <x v="1"/>
  </r>
  <r>
    <x v="55"/>
    <x v="883"/>
    <x v="1"/>
    <x v="4"/>
    <x v="2"/>
    <x v="6"/>
    <x v="874"/>
    <x v="13"/>
    <x v="882"/>
    <x v="1"/>
    <x v="875"/>
    <x v="1"/>
  </r>
  <r>
    <x v="75"/>
    <x v="884"/>
    <x v="0"/>
    <x v="0"/>
    <x v="1"/>
    <x v="5"/>
    <x v="875"/>
    <x v="8"/>
    <x v="883"/>
    <x v="12"/>
    <x v="876"/>
    <x v="1"/>
  </r>
  <r>
    <x v="265"/>
    <x v="885"/>
    <x v="1"/>
    <x v="2"/>
    <x v="0"/>
    <x v="18"/>
    <x v="876"/>
    <x v="14"/>
    <x v="884"/>
    <x v="10"/>
    <x v="877"/>
    <x v="3"/>
  </r>
  <r>
    <x v="63"/>
    <x v="886"/>
    <x v="3"/>
    <x v="1"/>
    <x v="0"/>
    <x v="18"/>
    <x v="877"/>
    <x v="11"/>
    <x v="885"/>
    <x v="8"/>
    <x v="878"/>
    <x v="2"/>
  </r>
  <r>
    <x v="324"/>
    <x v="887"/>
    <x v="1"/>
    <x v="4"/>
    <x v="1"/>
    <x v="1"/>
    <x v="878"/>
    <x v="10"/>
    <x v="886"/>
    <x v="6"/>
    <x v="879"/>
    <x v="0"/>
  </r>
  <r>
    <x v="337"/>
    <x v="888"/>
    <x v="2"/>
    <x v="4"/>
    <x v="3"/>
    <x v="10"/>
    <x v="879"/>
    <x v="6"/>
    <x v="887"/>
    <x v="10"/>
    <x v="880"/>
    <x v="2"/>
  </r>
  <r>
    <x v="143"/>
    <x v="889"/>
    <x v="0"/>
    <x v="3"/>
    <x v="3"/>
    <x v="9"/>
    <x v="880"/>
    <x v="5"/>
    <x v="888"/>
    <x v="25"/>
    <x v="881"/>
    <x v="0"/>
  </r>
  <r>
    <x v="286"/>
    <x v="890"/>
    <x v="2"/>
    <x v="2"/>
    <x v="2"/>
    <x v="6"/>
    <x v="881"/>
    <x v="7"/>
    <x v="889"/>
    <x v="5"/>
    <x v="882"/>
    <x v="3"/>
  </r>
  <r>
    <x v="204"/>
    <x v="891"/>
    <x v="1"/>
    <x v="0"/>
    <x v="2"/>
    <x v="6"/>
    <x v="882"/>
    <x v="14"/>
    <x v="890"/>
    <x v="9"/>
    <x v="883"/>
    <x v="1"/>
  </r>
  <r>
    <x v="187"/>
    <x v="892"/>
    <x v="0"/>
    <x v="0"/>
    <x v="1"/>
    <x v="16"/>
    <x v="883"/>
    <x v="8"/>
    <x v="891"/>
    <x v="19"/>
    <x v="884"/>
    <x v="2"/>
  </r>
  <r>
    <x v="318"/>
    <x v="893"/>
    <x v="3"/>
    <x v="4"/>
    <x v="1"/>
    <x v="2"/>
    <x v="884"/>
    <x v="13"/>
    <x v="892"/>
    <x v="13"/>
    <x v="885"/>
    <x v="2"/>
  </r>
  <r>
    <x v="40"/>
    <x v="894"/>
    <x v="2"/>
    <x v="3"/>
    <x v="1"/>
    <x v="3"/>
    <x v="885"/>
    <x v="6"/>
    <x v="893"/>
    <x v="30"/>
    <x v="886"/>
    <x v="3"/>
  </r>
  <r>
    <x v="27"/>
    <x v="895"/>
    <x v="1"/>
    <x v="0"/>
    <x v="1"/>
    <x v="1"/>
    <x v="886"/>
    <x v="5"/>
    <x v="894"/>
    <x v="8"/>
    <x v="887"/>
    <x v="2"/>
  </r>
  <r>
    <x v="173"/>
    <x v="896"/>
    <x v="0"/>
    <x v="2"/>
    <x v="0"/>
    <x v="18"/>
    <x v="887"/>
    <x v="0"/>
    <x v="895"/>
    <x v="27"/>
    <x v="212"/>
    <x v="2"/>
  </r>
  <r>
    <x v="288"/>
    <x v="897"/>
    <x v="3"/>
    <x v="0"/>
    <x v="3"/>
    <x v="15"/>
    <x v="888"/>
    <x v="0"/>
    <x v="896"/>
    <x v="23"/>
    <x v="888"/>
    <x v="0"/>
  </r>
  <r>
    <x v="195"/>
    <x v="898"/>
    <x v="3"/>
    <x v="4"/>
    <x v="0"/>
    <x v="18"/>
    <x v="889"/>
    <x v="13"/>
    <x v="897"/>
    <x v="23"/>
    <x v="889"/>
    <x v="1"/>
  </r>
  <r>
    <x v="270"/>
    <x v="899"/>
    <x v="1"/>
    <x v="4"/>
    <x v="0"/>
    <x v="0"/>
    <x v="527"/>
    <x v="7"/>
    <x v="898"/>
    <x v="14"/>
    <x v="890"/>
    <x v="2"/>
  </r>
  <r>
    <x v="160"/>
    <x v="900"/>
    <x v="0"/>
    <x v="0"/>
    <x v="3"/>
    <x v="12"/>
    <x v="890"/>
    <x v="11"/>
    <x v="899"/>
    <x v="8"/>
    <x v="891"/>
    <x v="0"/>
  </r>
  <r>
    <x v="89"/>
    <x v="901"/>
    <x v="2"/>
    <x v="4"/>
    <x v="2"/>
    <x v="6"/>
    <x v="156"/>
    <x v="3"/>
    <x v="900"/>
    <x v="1"/>
    <x v="892"/>
    <x v="2"/>
  </r>
  <r>
    <x v="106"/>
    <x v="902"/>
    <x v="0"/>
    <x v="4"/>
    <x v="2"/>
    <x v="4"/>
    <x v="891"/>
    <x v="4"/>
    <x v="901"/>
    <x v="21"/>
    <x v="893"/>
    <x v="0"/>
  </r>
  <r>
    <x v="280"/>
    <x v="903"/>
    <x v="2"/>
    <x v="3"/>
    <x v="2"/>
    <x v="6"/>
    <x v="892"/>
    <x v="0"/>
    <x v="902"/>
    <x v="22"/>
    <x v="894"/>
    <x v="3"/>
  </r>
  <r>
    <x v="294"/>
    <x v="904"/>
    <x v="3"/>
    <x v="3"/>
    <x v="1"/>
    <x v="5"/>
    <x v="893"/>
    <x v="5"/>
    <x v="903"/>
    <x v="7"/>
    <x v="895"/>
    <x v="2"/>
  </r>
  <r>
    <x v="138"/>
    <x v="905"/>
    <x v="2"/>
    <x v="0"/>
    <x v="0"/>
    <x v="19"/>
    <x v="894"/>
    <x v="10"/>
    <x v="904"/>
    <x v="9"/>
    <x v="896"/>
    <x v="1"/>
  </r>
  <r>
    <x v="207"/>
    <x v="906"/>
    <x v="0"/>
    <x v="1"/>
    <x v="2"/>
    <x v="6"/>
    <x v="895"/>
    <x v="13"/>
    <x v="905"/>
    <x v="7"/>
    <x v="897"/>
    <x v="2"/>
  </r>
  <r>
    <x v="197"/>
    <x v="907"/>
    <x v="2"/>
    <x v="4"/>
    <x v="1"/>
    <x v="16"/>
    <x v="896"/>
    <x v="12"/>
    <x v="906"/>
    <x v="18"/>
    <x v="898"/>
    <x v="2"/>
  </r>
  <r>
    <x v="324"/>
    <x v="908"/>
    <x v="1"/>
    <x v="4"/>
    <x v="1"/>
    <x v="3"/>
    <x v="897"/>
    <x v="4"/>
    <x v="907"/>
    <x v="27"/>
    <x v="899"/>
    <x v="3"/>
  </r>
  <r>
    <x v="270"/>
    <x v="909"/>
    <x v="2"/>
    <x v="4"/>
    <x v="1"/>
    <x v="3"/>
    <x v="898"/>
    <x v="4"/>
    <x v="908"/>
    <x v="18"/>
    <x v="900"/>
    <x v="2"/>
  </r>
  <r>
    <x v="124"/>
    <x v="910"/>
    <x v="2"/>
    <x v="0"/>
    <x v="3"/>
    <x v="14"/>
    <x v="899"/>
    <x v="14"/>
    <x v="909"/>
    <x v="22"/>
    <x v="901"/>
    <x v="1"/>
  </r>
  <r>
    <x v="249"/>
    <x v="911"/>
    <x v="2"/>
    <x v="2"/>
    <x v="3"/>
    <x v="9"/>
    <x v="900"/>
    <x v="0"/>
    <x v="910"/>
    <x v="24"/>
    <x v="902"/>
    <x v="0"/>
  </r>
  <r>
    <x v="2"/>
    <x v="912"/>
    <x v="2"/>
    <x v="0"/>
    <x v="3"/>
    <x v="14"/>
    <x v="901"/>
    <x v="9"/>
    <x v="911"/>
    <x v="5"/>
    <x v="903"/>
    <x v="1"/>
  </r>
  <r>
    <x v="175"/>
    <x v="913"/>
    <x v="3"/>
    <x v="2"/>
    <x v="0"/>
    <x v="19"/>
    <x v="902"/>
    <x v="14"/>
    <x v="912"/>
    <x v="1"/>
    <x v="904"/>
    <x v="1"/>
  </r>
  <r>
    <x v="121"/>
    <x v="914"/>
    <x v="3"/>
    <x v="2"/>
    <x v="3"/>
    <x v="9"/>
    <x v="903"/>
    <x v="13"/>
    <x v="913"/>
    <x v="20"/>
    <x v="905"/>
    <x v="1"/>
  </r>
  <r>
    <x v="253"/>
    <x v="915"/>
    <x v="2"/>
    <x v="4"/>
    <x v="3"/>
    <x v="9"/>
    <x v="904"/>
    <x v="0"/>
    <x v="914"/>
    <x v="3"/>
    <x v="906"/>
    <x v="1"/>
  </r>
  <r>
    <x v="138"/>
    <x v="916"/>
    <x v="1"/>
    <x v="2"/>
    <x v="0"/>
    <x v="0"/>
    <x v="905"/>
    <x v="7"/>
    <x v="915"/>
    <x v="10"/>
    <x v="907"/>
    <x v="0"/>
  </r>
  <r>
    <x v="131"/>
    <x v="917"/>
    <x v="0"/>
    <x v="3"/>
    <x v="3"/>
    <x v="9"/>
    <x v="906"/>
    <x v="0"/>
    <x v="916"/>
    <x v="10"/>
    <x v="908"/>
    <x v="3"/>
  </r>
  <r>
    <x v="340"/>
    <x v="918"/>
    <x v="2"/>
    <x v="2"/>
    <x v="0"/>
    <x v="0"/>
    <x v="907"/>
    <x v="4"/>
    <x v="917"/>
    <x v="18"/>
    <x v="909"/>
    <x v="2"/>
  </r>
  <r>
    <x v="76"/>
    <x v="919"/>
    <x v="2"/>
    <x v="4"/>
    <x v="1"/>
    <x v="3"/>
    <x v="908"/>
    <x v="1"/>
    <x v="918"/>
    <x v="26"/>
    <x v="910"/>
    <x v="0"/>
  </r>
  <r>
    <x v="159"/>
    <x v="920"/>
    <x v="1"/>
    <x v="2"/>
    <x v="2"/>
    <x v="6"/>
    <x v="909"/>
    <x v="0"/>
    <x v="919"/>
    <x v="7"/>
    <x v="911"/>
    <x v="2"/>
  </r>
  <r>
    <x v="121"/>
    <x v="921"/>
    <x v="3"/>
    <x v="1"/>
    <x v="2"/>
    <x v="6"/>
    <x v="910"/>
    <x v="6"/>
    <x v="920"/>
    <x v="4"/>
    <x v="912"/>
    <x v="0"/>
  </r>
  <r>
    <x v="38"/>
    <x v="922"/>
    <x v="3"/>
    <x v="1"/>
    <x v="1"/>
    <x v="2"/>
    <x v="136"/>
    <x v="2"/>
    <x v="136"/>
    <x v="11"/>
    <x v="913"/>
    <x v="0"/>
  </r>
  <r>
    <x v="314"/>
    <x v="923"/>
    <x v="1"/>
    <x v="0"/>
    <x v="0"/>
    <x v="0"/>
    <x v="911"/>
    <x v="1"/>
    <x v="921"/>
    <x v="23"/>
    <x v="914"/>
    <x v="1"/>
  </r>
  <r>
    <x v="20"/>
    <x v="924"/>
    <x v="2"/>
    <x v="2"/>
    <x v="3"/>
    <x v="14"/>
    <x v="912"/>
    <x v="3"/>
    <x v="922"/>
    <x v="7"/>
    <x v="915"/>
    <x v="1"/>
  </r>
  <r>
    <x v="153"/>
    <x v="925"/>
    <x v="2"/>
    <x v="1"/>
    <x v="1"/>
    <x v="1"/>
    <x v="913"/>
    <x v="9"/>
    <x v="923"/>
    <x v="18"/>
    <x v="916"/>
    <x v="2"/>
  </r>
  <r>
    <x v="116"/>
    <x v="926"/>
    <x v="0"/>
    <x v="2"/>
    <x v="3"/>
    <x v="9"/>
    <x v="914"/>
    <x v="10"/>
    <x v="924"/>
    <x v="19"/>
    <x v="917"/>
    <x v="1"/>
  </r>
  <r>
    <x v="181"/>
    <x v="927"/>
    <x v="2"/>
    <x v="0"/>
    <x v="0"/>
    <x v="18"/>
    <x v="915"/>
    <x v="7"/>
    <x v="925"/>
    <x v="8"/>
    <x v="918"/>
    <x v="3"/>
  </r>
  <r>
    <x v="279"/>
    <x v="928"/>
    <x v="2"/>
    <x v="0"/>
    <x v="1"/>
    <x v="2"/>
    <x v="916"/>
    <x v="3"/>
    <x v="926"/>
    <x v="4"/>
    <x v="919"/>
    <x v="1"/>
  </r>
  <r>
    <x v="211"/>
    <x v="929"/>
    <x v="3"/>
    <x v="4"/>
    <x v="2"/>
    <x v="4"/>
    <x v="917"/>
    <x v="13"/>
    <x v="927"/>
    <x v="14"/>
    <x v="920"/>
    <x v="1"/>
  </r>
  <r>
    <x v="31"/>
    <x v="930"/>
    <x v="3"/>
    <x v="3"/>
    <x v="2"/>
    <x v="17"/>
    <x v="918"/>
    <x v="10"/>
    <x v="928"/>
    <x v="24"/>
    <x v="921"/>
    <x v="0"/>
  </r>
  <r>
    <x v="35"/>
    <x v="931"/>
    <x v="0"/>
    <x v="1"/>
    <x v="0"/>
    <x v="13"/>
    <x v="919"/>
    <x v="1"/>
    <x v="929"/>
    <x v="19"/>
    <x v="922"/>
    <x v="2"/>
  </r>
  <r>
    <x v="56"/>
    <x v="932"/>
    <x v="0"/>
    <x v="2"/>
    <x v="0"/>
    <x v="0"/>
    <x v="920"/>
    <x v="13"/>
    <x v="930"/>
    <x v="11"/>
    <x v="923"/>
    <x v="0"/>
  </r>
  <r>
    <x v="161"/>
    <x v="933"/>
    <x v="3"/>
    <x v="2"/>
    <x v="2"/>
    <x v="11"/>
    <x v="921"/>
    <x v="6"/>
    <x v="931"/>
    <x v="3"/>
    <x v="924"/>
    <x v="3"/>
  </r>
  <r>
    <x v="191"/>
    <x v="934"/>
    <x v="2"/>
    <x v="1"/>
    <x v="2"/>
    <x v="11"/>
    <x v="922"/>
    <x v="8"/>
    <x v="932"/>
    <x v="27"/>
    <x v="925"/>
    <x v="2"/>
  </r>
  <r>
    <x v="118"/>
    <x v="935"/>
    <x v="2"/>
    <x v="4"/>
    <x v="2"/>
    <x v="4"/>
    <x v="923"/>
    <x v="12"/>
    <x v="933"/>
    <x v="25"/>
    <x v="926"/>
    <x v="0"/>
  </r>
  <r>
    <x v="216"/>
    <x v="936"/>
    <x v="0"/>
    <x v="3"/>
    <x v="2"/>
    <x v="17"/>
    <x v="924"/>
    <x v="13"/>
    <x v="934"/>
    <x v="6"/>
    <x v="927"/>
    <x v="1"/>
  </r>
  <r>
    <x v="341"/>
    <x v="937"/>
    <x v="0"/>
    <x v="1"/>
    <x v="1"/>
    <x v="3"/>
    <x v="925"/>
    <x v="5"/>
    <x v="935"/>
    <x v="15"/>
    <x v="928"/>
    <x v="2"/>
  </r>
  <r>
    <x v="163"/>
    <x v="938"/>
    <x v="2"/>
    <x v="4"/>
    <x v="2"/>
    <x v="4"/>
    <x v="926"/>
    <x v="2"/>
    <x v="936"/>
    <x v="25"/>
    <x v="929"/>
    <x v="2"/>
  </r>
  <r>
    <x v="27"/>
    <x v="939"/>
    <x v="3"/>
    <x v="3"/>
    <x v="1"/>
    <x v="3"/>
    <x v="927"/>
    <x v="13"/>
    <x v="937"/>
    <x v="8"/>
    <x v="930"/>
    <x v="2"/>
  </r>
  <r>
    <x v="11"/>
    <x v="940"/>
    <x v="3"/>
    <x v="4"/>
    <x v="0"/>
    <x v="7"/>
    <x v="928"/>
    <x v="3"/>
    <x v="938"/>
    <x v="3"/>
    <x v="931"/>
    <x v="3"/>
  </r>
  <r>
    <x v="103"/>
    <x v="941"/>
    <x v="2"/>
    <x v="1"/>
    <x v="2"/>
    <x v="4"/>
    <x v="929"/>
    <x v="11"/>
    <x v="939"/>
    <x v="25"/>
    <x v="932"/>
    <x v="1"/>
  </r>
  <r>
    <x v="122"/>
    <x v="942"/>
    <x v="2"/>
    <x v="1"/>
    <x v="2"/>
    <x v="4"/>
    <x v="930"/>
    <x v="6"/>
    <x v="940"/>
    <x v="10"/>
    <x v="933"/>
    <x v="3"/>
  </r>
  <r>
    <x v="3"/>
    <x v="943"/>
    <x v="0"/>
    <x v="4"/>
    <x v="1"/>
    <x v="2"/>
    <x v="931"/>
    <x v="5"/>
    <x v="941"/>
    <x v="14"/>
    <x v="934"/>
    <x v="1"/>
  </r>
  <r>
    <x v="205"/>
    <x v="944"/>
    <x v="0"/>
    <x v="4"/>
    <x v="0"/>
    <x v="19"/>
    <x v="932"/>
    <x v="1"/>
    <x v="942"/>
    <x v="20"/>
    <x v="935"/>
    <x v="3"/>
  </r>
  <r>
    <x v="208"/>
    <x v="945"/>
    <x v="0"/>
    <x v="1"/>
    <x v="2"/>
    <x v="6"/>
    <x v="933"/>
    <x v="5"/>
    <x v="943"/>
    <x v="20"/>
    <x v="936"/>
    <x v="1"/>
  </r>
  <r>
    <x v="342"/>
    <x v="946"/>
    <x v="1"/>
    <x v="4"/>
    <x v="0"/>
    <x v="13"/>
    <x v="934"/>
    <x v="13"/>
    <x v="944"/>
    <x v="11"/>
    <x v="937"/>
    <x v="1"/>
  </r>
  <r>
    <x v="55"/>
    <x v="947"/>
    <x v="1"/>
    <x v="1"/>
    <x v="1"/>
    <x v="1"/>
    <x v="935"/>
    <x v="7"/>
    <x v="945"/>
    <x v="11"/>
    <x v="938"/>
    <x v="0"/>
  </r>
  <r>
    <x v="48"/>
    <x v="948"/>
    <x v="3"/>
    <x v="4"/>
    <x v="0"/>
    <x v="7"/>
    <x v="936"/>
    <x v="7"/>
    <x v="946"/>
    <x v="8"/>
    <x v="939"/>
    <x v="1"/>
  </r>
  <r>
    <x v="90"/>
    <x v="949"/>
    <x v="0"/>
    <x v="1"/>
    <x v="0"/>
    <x v="13"/>
    <x v="937"/>
    <x v="7"/>
    <x v="947"/>
    <x v="27"/>
    <x v="940"/>
    <x v="3"/>
  </r>
  <r>
    <x v="285"/>
    <x v="950"/>
    <x v="3"/>
    <x v="3"/>
    <x v="2"/>
    <x v="6"/>
    <x v="938"/>
    <x v="4"/>
    <x v="948"/>
    <x v="3"/>
    <x v="941"/>
    <x v="0"/>
  </r>
  <r>
    <x v="290"/>
    <x v="951"/>
    <x v="0"/>
    <x v="4"/>
    <x v="1"/>
    <x v="3"/>
    <x v="939"/>
    <x v="12"/>
    <x v="949"/>
    <x v="26"/>
    <x v="942"/>
    <x v="2"/>
  </r>
  <r>
    <x v="237"/>
    <x v="952"/>
    <x v="1"/>
    <x v="0"/>
    <x v="0"/>
    <x v="0"/>
    <x v="940"/>
    <x v="7"/>
    <x v="950"/>
    <x v="20"/>
    <x v="943"/>
    <x v="0"/>
  </r>
  <r>
    <x v="231"/>
    <x v="953"/>
    <x v="1"/>
    <x v="4"/>
    <x v="0"/>
    <x v="18"/>
    <x v="941"/>
    <x v="13"/>
    <x v="951"/>
    <x v="14"/>
    <x v="944"/>
    <x v="3"/>
  </r>
  <r>
    <x v="7"/>
    <x v="954"/>
    <x v="3"/>
    <x v="1"/>
    <x v="0"/>
    <x v="19"/>
    <x v="942"/>
    <x v="5"/>
    <x v="952"/>
    <x v="26"/>
    <x v="945"/>
    <x v="0"/>
  </r>
  <r>
    <x v="7"/>
    <x v="955"/>
    <x v="0"/>
    <x v="1"/>
    <x v="1"/>
    <x v="3"/>
    <x v="943"/>
    <x v="13"/>
    <x v="953"/>
    <x v="0"/>
    <x v="946"/>
    <x v="0"/>
  </r>
  <r>
    <x v="192"/>
    <x v="956"/>
    <x v="0"/>
    <x v="3"/>
    <x v="2"/>
    <x v="6"/>
    <x v="944"/>
    <x v="11"/>
    <x v="954"/>
    <x v="29"/>
    <x v="947"/>
    <x v="1"/>
  </r>
  <r>
    <x v="192"/>
    <x v="957"/>
    <x v="0"/>
    <x v="2"/>
    <x v="3"/>
    <x v="14"/>
    <x v="945"/>
    <x v="2"/>
    <x v="955"/>
    <x v="17"/>
    <x v="948"/>
    <x v="2"/>
  </r>
  <r>
    <x v="273"/>
    <x v="958"/>
    <x v="1"/>
    <x v="1"/>
    <x v="3"/>
    <x v="15"/>
    <x v="946"/>
    <x v="2"/>
    <x v="956"/>
    <x v="2"/>
    <x v="949"/>
    <x v="2"/>
  </r>
  <r>
    <x v="271"/>
    <x v="959"/>
    <x v="1"/>
    <x v="1"/>
    <x v="3"/>
    <x v="15"/>
    <x v="947"/>
    <x v="0"/>
    <x v="957"/>
    <x v="8"/>
    <x v="950"/>
    <x v="3"/>
  </r>
  <r>
    <x v="343"/>
    <x v="960"/>
    <x v="0"/>
    <x v="2"/>
    <x v="3"/>
    <x v="9"/>
    <x v="505"/>
    <x v="7"/>
    <x v="958"/>
    <x v="5"/>
    <x v="951"/>
    <x v="3"/>
  </r>
  <r>
    <x v="23"/>
    <x v="961"/>
    <x v="3"/>
    <x v="2"/>
    <x v="1"/>
    <x v="5"/>
    <x v="948"/>
    <x v="0"/>
    <x v="959"/>
    <x v="18"/>
    <x v="952"/>
    <x v="0"/>
  </r>
  <r>
    <x v="228"/>
    <x v="962"/>
    <x v="0"/>
    <x v="3"/>
    <x v="1"/>
    <x v="2"/>
    <x v="949"/>
    <x v="5"/>
    <x v="960"/>
    <x v="4"/>
    <x v="953"/>
    <x v="2"/>
  </r>
  <r>
    <x v="10"/>
    <x v="963"/>
    <x v="3"/>
    <x v="0"/>
    <x v="0"/>
    <x v="18"/>
    <x v="950"/>
    <x v="5"/>
    <x v="961"/>
    <x v="18"/>
    <x v="954"/>
    <x v="3"/>
  </r>
  <r>
    <x v="218"/>
    <x v="964"/>
    <x v="2"/>
    <x v="3"/>
    <x v="1"/>
    <x v="3"/>
    <x v="951"/>
    <x v="9"/>
    <x v="962"/>
    <x v="17"/>
    <x v="955"/>
    <x v="2"/>
  </r>
  <r>
    <x v="165"/>
    <x v="965"/>
    <x v="3"/>
    <x v="3"/>
    <x v="3"/>
    <x v="9"/>
    <x v="952"/>
    <x v="0"/>
    <x v="963"/>
    <x v="19"/>
    <x v="956"/>
    <x v="0"/>
  </r>
  <r>
    <x v="116"/>
    <x v="966"/>
    <x v="1"/>
    <x v="4"/>
    <x v="1"/>
    <x v="3"/>
    <x v="953"/>
    <x v="0"/>
    <x v="964"/>
    <x v="5"/>
    <x v="957"/>
    <x v="2"/>
  </r>
  <r>
    <x v="140"/>
    <x v="967"/>
    <x v="0"/>
    <x v="3"/>
    <x v="3"/>
    <x v="12"/>
    <x v="954"/>
    <x v="13"/>
    <x v="965"/>
    <x v="16"/>
    <x v="958"/>
    <x v="2"/>
  </r>
  <r>
    <x v="214"/>
    <x v="968"/>
    <x v="1"/>
    <x v="4"/>
    <x v="3"/>
    <x v="14"/>
    <x v="955"/>
    <x v="10"/>
    <x v="966"/>
    <x v="1"/>
    <x v="959"/>
    <x v="2"/>
  </r>
  <r>
    <x v="183"/>
    <x v="969"/>
    <x v="3"/>
    <x v="4"/>
    <x v="1"/>
    <x v="2"/>
    <x v="956"/>
    <x v="1"/>
    <x v="967"/>
    <x v="17"/>
    <x v="960"/>
    <x v="1"/>
  </r>
  <r>
    <x v="212"/>
    <x v="970"/>
    <x v="0"/>
    <x v="4"/>
    <x v="2"/>
    <x v="8"/>
    <x v="957"/>
    <x v="7"/>
    <x v="968"/>
    <x v="16"/>
    <x v="961"/>
    <x v="0"/>
  </r>
  <r>
    <x v="277"/>
    <x v="971"/>
    <x v="2"/>
    <x v="4"/>
    <x v="3"/>
    <x v="9"/>
    <x v="958"/>
    <x v="7"/>
    <x v="969"/>
    <x v="17"/>
    <x v="962"/>
    <x v="3"/>
  </r>
  <r>
    <x v="213"/>
    <x v="972"/>
    <x v="3"/>
    <x v="1"/>
    <x v="0"/>
    <x v="0"/>
    <x v="959"/>
    <x v="12"/>
    <x v="970"/>
    <x v="7"/>
    <x v="963"/>
    <x v="3"/>
  </r>
  <r>
    <x v="292"/>
    <x v="973"/>
    <x v="2"/>
    <x v="0"/>
    <x v="3"/>
    <x v="12"/>
    <x v="960"/>
    <x v="0"/>
    <x v="971"/>
    <x v="26"/>
    <x v="964"/>
    <x v="1"/>
  </r>
  <r>
    <x v="22"/>
    <x v="974"/>
    <x v="0"/>
    <x v="2"/>
    <x v="0"/>
    <x v="18"/>
    <x v="961"/>
    <x v="2"/>
    <x v="972"/>
    <x v="28"/>
    <x v="965"/>
    <x v="2"/>
  </r>
  <r>
    <x v="43"/>
    <x v="975"/>
    <x v="0"/>
    <x v="1"/>
    <x v="3"/>
    <x v="9"/>
    <x v="962"/>
    <x v="0"/>
    <x v="973"/>
    <x v="6"/>
    <x v="966"/>
    <x v="3"/>
  </r>
  <r>
    <x v="91"/>
    <x v="976"/>
    <x v="2"/>
    <x v="0"/>
    <x v="1"/>
    <x v="3"/>
    <x v="963"/>
    <x v="9"/>
    <x v="974"/>
    <x v="14"/>
    <x v="967"/>
    <x v="1"/>
  </r>
  <r>
    <x v="316"/>
    <x v="977"/>
    <x v="2"/>
    <x v="2"/>
    <x v="2"/>
    <x v="11"/>
    <x v="964"/>
    <x v="2"/>
    <x v="975"/>
    <x v="18"/>
    <x v="968"/>
    <x v="2"/>
  </r>
  <r>
    <x v="69"/>
    <x v="978"/>
    <x v="2"/>
    <x v="4"/>
    <x v="3"/>
    <x v="15"/>
    <x v="965"/>
    <x v="14"/>
    <x v="976"/>
    <x v="7"/>
    <x v="969"/>
    <x v="2"/>
  </r>
  <r>
    <x v="173"/>
    <x v="979"/>
    <x v="2"/>
    <x v="3"/>
    <x v="1"/>
    <x v="2"/>
    <x v="966"/>
    <x v="6"/>
    <x v="977"/>
    <x v="10"/>
    <x v="970"/>
    <x v="0"/>
  </r>
  <r>
    <x v="275"/>
    <x v="980"/>
    <x v="2"/>
    <x v="4"/>
    <x v="1"/>
    <x v="16"/>
    <x v="967"/>
    <x v="2"/>
    <x v="978"/>
    <x v="8"/>
    <x v="971"/>
    <x v="2"/>
  </r>
  <r>
    <x v="301"/>
    <x v="981"/>
    <x v="3"/>
    <x v="3"/>
    <x v="3"/>
    <x v="9"/>
    <x v="968"/>
    <x v="9"/>
    <x v="979"/>
    <x v="19"/>
    <x v="972"/>
    <x v="2"/>
  </r>
  <r>
    <x v="31"/>
    <x v="982"/>
    <x v="2"/>
    <x v="0"/>
    <x v="1"/>
    <x v="2"/>
    <x v="969"/>
    <x v="4"/>
    <x v="980"/>
    <x v="24"/>
    <x v="973"/>
    <x v="3"/>
  </r>
  <r>
    <x v="344"/>
    <x v="983"/>
    <x v="2"/>
    <x v="2"/>
    <x v="1"/>
    <x v="2"/>
    <x v="970"/>
    <x v="2"/>
    <x v="981"/>
    <x v="18"/>
    <x v="602"/>
    <x v="1"/>
  </r>
  <r>
    <x v="66"/>
    <x v="984"/>
    <x v="2"/>
    <x v="4"/>
    <x v="2"/>
    <x v="17"/>
    <x v="971"/>
    <x v="9"/>
    <x v="982"/>
    <x v="28"/>
    <x v="974"/>
    <x v="2"/>
  </r>
  <r>
    <x v="208"/>
    <x v="985"/>
    <x v="3"/>
    <x v="1"/>
    <x v="1"/>
    <x v="3"/>
    <x v="972"/>
    <x v="3"/>
    <x v="983"/>
    <x v="15"/>
    <x v="975"/>
    <x v="0"/>
  </r>
  <r>
    <x v="207"/>
    <x v="986"/>
    <x v="3"/>
    <x v="3"/>
    <x v="0"/>
    <x v="18"/>
    <x v="973"/>
    <x v="2"/>
    <x v="984"/>
    <x v="18"/>
    <x v="976"/>
    <x v="2"/>
  </r>
  <r>
    <x v="121"/>
    <x v="987"/>
    <x v="1"/>
    <x v="2"/>
    <x v="1"/>
    <x v="3"/>
    <x v="974"/>
    <x v="13"/>
    <x v="985"/>
    <x v="5"/>
    <x v="977"/>
    <x v="2"/>
  </r>
  <r>
    <x v="336"/>
    <x v="988"/>
    <x v="2"/>
    <x v="3"/>
    <x v="3"/>
    <x v="12"/>
    <x v="975"/>
    <x v="9"/>
    <x v="986"/>
    <x v="1"/>
    <x v="978"/>
    <x v="2"/>
  </r>
  <r>
    <x v="197"/>
    <x v="989"/>
    <x v="1"/>
    <x v="4"/>
    <x v="2"/>
    <x v="8"/>
    <x v="976"/>
    <x v="14"/>
    <x v="987"/>
    <x v="24"/>
    <x v="979"/>
    <x v="0"/>
  </r>
  <r>
    <x v="240"/>
    <x v="990"/>
    <x v="3"/>
    <x v="4"/>
    <x v="3"/>
    <x v="12"/>
    <x v="977"/>
    <x v="8"/>
    <x v="988"/>
    <x v="14"/>
    <x v="980"/>
    <x v="1"/>
  </r>
  <r>
    <x v="309"/>
    <x v="991"/>
    <x v="0"/>
    <x v="4"/>
    <x v="3"/>
    <x v="9"/>
    <x v="978"/>
    <x v="0"/>
    <x v="989"/>
    <x v="5"/>
    <x v="981"/>
    <x v="1"/>
  </r>
  <r>
    <x v="7"/>
    <x v="992"/>
    <x v="3"/>
    <x v="3"/>
    <x v="3"/>
    <x v="14"/>
    <x v="979"/>
    <x v="9"/>
    <x v="990"/>
    <x v="18"/>
    <x v="982"/>
    <x v="3"/>
  </r>
  <r>
    <x v="222"/>
    <x v="993"/>
    <x v="3"/>
    <x v="1"/>
    <x v="0"/>
    <x v="18"/>
    <x v="980"/>
    <x v="10"/>
    <x v="991"/>
    <x v="27"/>
    <x v="983"/>
    <x v="0"/>
  </r>
  <r>
    <x v="144"/>
    <x v="994"/>
    <x v="1"/>
    <x v="1"/>
    <x v="0"/>
    <x v="19"/>
    <x v="981"/>
    <x v="12"/>
    <x v="992"/>
    <x v="26"/>
    <x v="984"/>
    <x v="1"/>
  </r>
  <r>
    <x v="302"/>
    <x v="995"/>
    <x v="3"/>
    <x v="4"/>
    <x v="0"/>
    <x v="0"/>
    <x v="982"/>
    <x v="7"/>
    <x v="993"/>
    <x v="17"/>
    <x v="985"/>
    <x v="3"/>
  </r>
  <r>
    <x v="41"/>
    <x v="996"/>
    <x v="3"/>
    <x v="3"/>
    <x v="0"/>
    <x v="13"/>
    <x v="983"/>
    <x v="12"/>
    <x v="994"/>
    <x v="10"/>
    <x v="986"/>
    <x v="3"/>
  </r>
  <r>
    <x v="10"/>
    <x v="997"/>
    <x v="3"/>
    <x v="4"/>
    <x v="3"/>
    <x v="15"/>
    <x v="984"/>
    <x v="3"/>
    <x v="995"/>
    <x v="2"/>
    <x v="987"/>
    <x v="1"/>
  </r>
  <r>
    <x v="267"/>
    <x v="998"/>
    <x v="1"/>
    <x v="1"/>
    <x v="2"/>
    <x v="11"/>
    <x v="985"/>
    <x v="1"/>
    <x v="996"/>
    <x v="14"/>
    <x v="988"/>
    <x v="1"/>
  </r>
  <r>
    <x v="47"/>
    <x v="999"/>
    <x v="0"/>
    <x v="0"/>
    <x v="3"/>
    <x v="9"/>
    <x v="986"/>
    <x v="10"/>
    <x v="997"/>
    <x v="14"/>
    <x v="989"/>
    <x v="3"/>
  </r>
</pivotCacheRecords>
</file>

<file path=xl/pivotCache/pivotCacheRecords2.xml><?xml version="1.0" encoding="utf-8"?>
<pivotCacheRecords xmlns:r="http://schemas.openxmlformats.org/officeDocument/2006/relationships" xmlns="http://schemas.openxmlformats.org/spreadsheetml/2006/main" count="1000">
  <r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1"/>
    <x v="1"/>
    <x v="1"/>
    <x v="0"/>
  </r>
  <r>
    <x v="2"/>
    <x v="2"/>
    <x v="1"/>
    <x v="0"/>
    <x v="1"/>
    <x v="2"/>
    <x v="2"/>
    <x v="2"/>
    <x v="2"/>
    <x v="2"/>
    <x v="2"/>
    <x v="0"/>
    <x v="1"/>
  </r>
  <r>
    <x v="3"/>
    <x v="3"/>
    <x v="2"/>
    <x v="2"/>
    <x v="1"/>
    <x v="3"/>
    <x v="3"/>
    <x v="3"/>
    <x v="3"/>
    <x v="3"/>
    <x v="3"/>
    <x v="2"/>
    <x v="2"/>
  </r>
  <r>
    <x v="4"/>
    <x v="4"/>
    <x v="1"/>
    <x v="2"/>
    <x v="2"/>
    <x v="4"/>
    <x v="4"/>
    <x v="1"/>
    <x v="4"/>
    <x v="4"/>
    <x v="4"/>
    <x v="0"/>
    <x v="1"/>
  </r>
  <r>
    <x v="5"/>
    <x v="5"/>
    <x v="0"/>
    <x v="1"/>
    <x v="1"/>
    <x v="5"/>
    <x v="5"/>
    <x v="4"/>
    <x v="5"/>
    <x v="5"/>
    <x v="5"/>
    <x v="2"/>
    <x v="2"/>
  </r>
  <r>
    <x v="6"/>
    <x v="6"/>
    <x v="0"/>
    <x v="1"/>
    <x v="2"/>
    <x v="6"/>
    <x v="6"/>
    <x v="0"/>
    <x v="6"/>
    <x v="5"/>
    <x v="6"/>
    <x v="2"/>
    <x v="0"/>
  </r>
  <r>
    <x v="7"/>
    <x v="7"/>
    <x v="2"/>
    <x v="2"/>
    <x v="0"/>
    <x v="7"/>
    <x v="7"/>
    <x v="5"/>
    <x v="7"/>
    <x v="6"/>
    <x v="7"/>
    <x v="3"/>
    <x v="0"/>
  </r>
  <r>
    <x v="8"/>
    <x v="8"/>
    <x v="3"/>
    <x v="3"/>
    <x v="2"/>
    <x v="8"/>
    <x v="8"/>
    <x v="6"/>
    <x v="8"/>
    <x v="3"/>
    <x v="8"/>
    <x v="1"/>
    <x v="1"/>
  </r>
  <r>
    <x v="9"/>
    <x v="9"/>
    <x v="3"/>
    <x v="2"/>
    <x v="3"/>
    <x v="9"/>
    <x v="9"/>
    <x v="5"/>
    <x v="9"/>
    <x v="7"/>
    <x v="9"/>
    <x v="1"/>
    <x v="1"/>
  </r>
  <r>
    <x v="10"/>
    <x v="10"/>
    <x v="1"/>
    <x v="1"/>
    <x v="3"/>
    <x v="10"/>
    <x v="10"/>
    <x v="0"/>
    <x v="10"/>
    <x v="8"/>
    <x v="10"/>
    <x v="1"/>
    <x v="1"/>
  </r>
  <r>
    <x v="11"/>
    <x v="11"/>
    <x v="2"/>
    <x v="0"/>
    <x v="2"/>
    <x v="11"/>
    <x v="11"/>
    <x v="7"/>
    <x v="11"/>
    <x v="9"/>
    <x v="11"/>
    <x v="2"/>
    <x v="2"/>
  </r>
  <r>
    <x v="12"/>
    <x v="12"/>
    <x v="1"/>
    <x v="0"/>
    <x v="3"/>
    <x v="12"/>
    <x v="12"/>
    <x v="7"/>
    <x v="12"/>
    <x v="3"/>
    <x v="12"/>
    <x v="0"/>
    <x v="0"/>
  </r>
  <r>
    <x v="13"/>
    <x v="13"/>
    <x v="2"/>
    <x v="4"/>
    <x v="0"/>
    <x v="13"/>
    <x v="13"/>
    <x v="7"/>
    <x v="13"/>
    <x v="10"/>
    <x v="13"/>
    <x v="3"/>
    <x v="1"/>
  </r>
  <r>
    <x v="14"/>
    <x v="14"/>
    <x v="2"/>
    <x v="0"/>
    <x v="1"/>
    <x v="3"/>
    <x v="14"/>
    <x v="2"/>
    <x v="14"/>
    <x v="11"/>
    <x v="14"/>
    <x v="2"/>
    <x v="0"/>
  </r>
  <r>
    <x v="15"/>
    <x v="15"/>
    <x v="2"/>
    <x v="2"/>
    <x v="1"/>
    <x v="1"/>
    <x v="15"/>
    <x v="8"/>
    <x v="15"/>
    <x v="12"/>
    <x v="15"/>
    <x v="3"/>
    <x v="2"/>
  </r>
  <r>
    <x v="16"/>
    <x v="16"/>
    <x v="0"/>
    <x v="0"/>
    <x v="3"/>
    <x v="14"/>
    <x v="16"/>
    <x v="9"/>
    <x v="16"/>
    <x v="13"/>
    <x v="16"/>
    <x v="1"/>
    <x v="2"/>
  </r>
  <r>
    <x v="17"/>
    <x v="17"/>
    <x v="2"/>
    <x v="3"/>
    <x v="1"/>
    <x v="5"/>
    <x v="17"/>
    <x v="0"/>
    <x v="17"/>
    <x v="1"/>
    <x v="17"/>
    <x v="3"/>
    <x v="2"/>
  </r>
  <r>
    <x v="18"/>
    <x v="18"/>
    <x v="1"/>
    <x v="3"/>
    <x v="1"/>
    <x v="1"/>
    <x v="18"/>
    <x v="6"/>
    <x v="18"/>
    <x v="14"/>
    <x v="18"/>
    <x v="1"/>
    <x v="1"/>
  </r>
  <r>
    <x v="19"/>
    <x v="19"/>
    <x v="3"/>
    <x v="0"/>
    <x v="0"/>
    <x v="0"/>
    <x v="19"/>
    <x v="1"/>
    <x v="19"/>
    <x v="15"/>
    <x v="19"/>
    <x v="2"/>
    <x v="2"/>
  </r>
  <r>
    <x v="20"/>
    <x v="20"/>
    <x v="3"/>
    <x v="4"/>
    <x v="0"/>
    <x v="7"/>
    <x v="20"/>
    <x v="3"/>
    <x v="20"/>
    <x v="12"/>
    <x v="20"/>
    <x v="1"/>
    <x v="0"/>
  </r>
  <r>
    <x v="21"/>
    <x v="21"/>
    <x v="1"/>
    <x v="0"/>
    <x v="3"/>
    <x v="10"/>
    <x v="21"/>
    <x v="4"/>
    <x v="21"/>
    <x v="7"/>
    <x v="21"/>
    <x v="2"/>
    <x v="2"/>
  </r>
  <r>
    <x v="22"/>
    <x v="22"/>
    <x v="2"/>
    <x v="4"/>
    <x v="3"/>
    <x v="9"/>
    <x v="22"/>
    <x v="10"/>
    <x v="22"/>
    <x v="8"/>
    <x v="22"/>
    <x v="3"/>
    <x v="1"/>
  </r>
  <r>
    <x v="23"/>
    <x v="23"/>
    <x v="1"/>
    <x v="3"/>
    <x v="3"/>
    <x v="15"/>
    <x v="23"/>
    <x v="11"/>
    <x v="23"/>
    <x v="8"/>
    <x v="23"/>
    <x v="2"/>
    <x v="2"/>
  </r>
  <r>
    <x v="24"/>
    <x v="24"/>
    <x v="2"/>
    <x v="1"/>
    <x v="1"/>
    <x v="16"/>
    <x v="24"/>
    <x v="6"/>
    <x v="24"/>
    <x v="6"/>
    <x v="24"/>
    <x v="2"/>
    <x v="2"/>
  </r>
  <r>
    <x v="25"/>
    <x v="25"/>
    <x v="0"/>
    <x v="4"/>
    <x v="1"/>
    <x v="16"/>
    <x v="25"/>
    <x v="11"/>
    <x v="25"/>
    <x v="16"/>
    <x v="25"/>
    <x v="2"/>
    <x v="1"/>
  </r>
  <r>
    <x v="26"/>
    <x v="26"/>
    <x v="2"/>
    <x v="0"/>
    <x v="2"/>
    <x v="17"/>
    <x v="26"/>
    <x v="7"/>
    <x v="26"/>
    <x v="7"/>
    <x v="26"/>
    <x v="1"/>
    <x v="1"/>
  </r>
  <r>
    <x v="27"/>
    <x v="27"/>
    <x v="1"/>
    <x v="4"/>
    <x v="1"/>
    <x v="5"/>
    <x v="27"/>
    <x v="9"/>
    <x v="27"/>
    <x v="5"/>
    <x v="27"/>
    <x v="1"/>
    <x v="1"/>
  </r>
  <r>
    <x v="28"/>
    <x v="28"/>
    <x v="2"/>
    <x v="0"/>
    <x v="2"/>
    <x v="8"/>
    <x v="28"/>
    <x v="0"/>
    <x v="28"/>
    <x v="2"/>
    <x v="28"/>
    <x v="2"/>
    <x v="0"/>
  </r>
  <r>
    <x v="29"/>
    <x v="29"/>
    <x v="1"/>
    <x v="0"/>
    <x v="1"/>
    <x v="3"/>
    <x v="29"/>
    <x v="10"/>
    <x v="29"/>
    <x v="13"/>
    <x v="29"/>
    <x v="0"/>
    <x v="2"/>
  </r>
  <r>
    <x v="30"/>
    <x v="30"/>
    <x v="2"/>
    <x v="1"/>
    <x v="0"/>
    <x v="13"/>
    <x v="30"/>
    <x v="4"/>
    <x v="30"/>
    <x v="3"/>
    <x v="30"/>
    <x v="2"/>
    <x v="2"/>
  </r>
  <r>
    <x v="31"/>
    <x v="31"/>
    <x v="2"/>
    <x v="1"/>
    <x v="0"/>
    <x v="7"/>
    <x v="31"/>
    <x v="1"/>
    <x v="31"/>
    <x v="6"/>
    <x v="31"/>
    <x v="1"/>
    <x v="1"/>
  </r>
  <r>
    <x v="32"/>
    <x v="32"/>
    <x v="1"/>
    <x v="4"/>
    <x v="2"/>
    <x v="6"/>
    <x v="32"/>
    <x v="0"/>
    <x v="32"/>
    <x v="1"/>
    <x v="32"/>
    <x v="0"/>
    <x v="1"/>
  </r>
  <r>
    <x v="33"/>
    <x v="33"/>
    <x v="2"/>
    <x v="0"/>
    <x v="3"/>
    <x v="9"/>
    <x v="33"/>
    <x v="5"/>
    <x v="33"/>
    <x v="4"/>
    <x v="33"/>
    <x v="1"/>
    <x v="1"/>
  </r>
  <r>
    <x v="34"/>
    <x v="34"/>
    <x v="2"/>
    <x v="4"/>
    <x v="0"/>
    <x v="18"/>
    <x v="34"/>
    <x v="7"/>
    <x v="34"/>
    <x v="17"/>
    <x v="34"/>
    <x v="0"/>
    <x v="2"/>
  </r>
  <r>
    <x v="35"/>
    <x v="35"/>
    <x v="1"/>
    <x v="4"/>
    <x v="3"/>
    <x v="12"/>
    <x v="35"/>
    <x v="9"/>
    <x v="35"/>
    <x v="18"/>
    <x v="35"/>
    <x v="1"/>
    <x v="0"/>
  </r>
  <r>
    <x v="36"/>
    <x v="36"/>
    <x v="3"/>
    <x v="1"/>
    <x v="0"/>
    <x v="0"/>
    <x v="36"/>
    <x v="8"/>
    <x v="36"/>
    <x v="19"/>
    <x v="36"/>
    <x v="0"/>
    <x v="2"/>
  </r>
  <r>
    <x v="37"/>
    <x v="37"/>
    <x v="1"/>
    <x v="1"/>
    <x v="1"/>
    <x v="5"/>
    <x v="37"/>
    <x v="6"/>
    <x v="37"/>
    <x v="0"/>
    <x v="37"/>
    <x v="0"/>
    <x v="1"/>
  </r>
  <r>
    <x v="31"/>
    <x v="38"/>
    <x v="3"/>
    <x v="1"/>
    <x v="2"/>
    <x v="6"/>
    <x v="38"/>
    <x v="0"/>
    <x v="38"/>
    <x v="20"/>
    <x v="38"/>
    <x v="2"/>
    <x v="0"/>
  </r>
  <r>
    <x v="38"/>
    <x v="39"/>
    <x v="2"/>
    <x v="0"/>
    <x v="1"/>
    <x v="3"/>
    <x v="39"/>
    <x v="4"/>
    <x v="39"/>
    <x v="15"/>
    <x v="39"/>
    <x v="0"/>
    <x v="2"/>
  </r>
  <r>
    <x v="39"/>
    <x v="40"/>
    <x v="2"/>
    <x v="1"/>
    <x v="3"/>
    <x v="10"/>
    <x v="40"/>
    <x v="5"/>
    <x v="40"/>
    <x v="17"/>
    <x v="40"/>
    <x v="1"/>
    <x v="0"/>
  </r>
  <r>
    <x v="40"/>
    <x v="41"/>
    <x v="1"/>
    <x v="0"/>
    <x v="3"/>
    <x v="9"/>
    <x v="41"/>
    <x v="2"/>
    <x v="41"/>
    <x v="19"/>
    <x v="41"/>
    <x v="3"/>
    <x v="0"/>
  </r>
  <r>
    <x v="41"/>
    <x v="42"/>
    <x v="0"/>
    <x v="1"/>
    <x v="0"/>
    <x v="13"/>
    <x v="42"/>
    <x v="1"/>
    <x v="42"/>
    <x v="7"/>
    <x v="42"/>
    <x v="2"/>
    <x v="1"/>
  </r>
  <r>
    <x v="42"/>
    <x v="43"/>
    <x v="0"/>
    <x v="0"/>
    <x v="0"/>
    <x v="0"/>
    <x v="43"/>
    <x v="0"/>
    <x v="43"/>
    <x v="8"/>
    <x v="43"/>
    <x v="0"/>
    <x v="1"/>
  </r>
  <r>
    <x v="43"/>
    <x v="44"/>
    <x v="0"/>
    <x v="2"/>
    <x v="0"/>
    <x v="0"/>
    <x v="44"/>
    <x v="0"/>
    <x v="44"/>
    <x v="21"/>
    <x v="44"/>
    <x v="3"/>
    <x v="2"/>
  </r>
  <r>
    <x v="44"/>
    <x v="45"/>
    <x v="3"/>
    <x v="3"/>
    <x v="3"/>
    <x v="12"/>
    <x v="45"/>
    <x v="11"/>
    <x v="45"/>
    <x v="8"/>
    <x v="45"/>
    <x v="2"/>
    <x v="1"/>
  </r>
  <r>
    <x v="45"/>
    <x v="46"/>
    <x v="1"/>
    <x v="1"/>
    <x v="3"/>
    <x v="10"/>
    <x v="46"/>
    <x v="3"/>
    <x v="46"/>
    <x v="19"/>
    <x v="46"/>
    <x v="0"/>
    <x v="2"/>
  </r>
  <r>
    <x v="26"/>
    <x v="47"/>
    <x v="1"/>
    <x v="3"/>
    <x v="3"/>
    <x v="14"/>
    <x v="47"/>
    <x v="12"/>
    <x v="47"/>
    <x v="18"/>
    <x v="47"/>
    <x v="0"/>
    <x v="1"/>
  </r>
  <r>
    <x v="46"/>
    <x v="48"/>
    <x v="3"/>
    <x v="4"/>
    <x v="0"/>
    <x v="19"/>
    <x v="48"/>
    <x v="8"/>
    <x v="48"/>
    <x v="3"/>
    <x v="48"/>
    <x v="0"/>
    <x v="2"/>
  </r>
  <r>
    <x v="47"/>
    <x v="49"/>
    <x v="2"/>
    <x v="1"/>
    <x v="1"/>
    <x v="3"/>
    <x v="49"/>
    <x v="9"/>
    <x v="49"/>
    <x v="7"/>
    <x v="49"/>
    <x v="2"/>
    <x v="1"/>
  </r>
  <r>
    <x v="48"/>
    <x v="50"/>
    <x v="1"/>
    <x v="4"/>
    <x v="3"/>
    <x v="9"/>
    <x v="50"/>
    <x v="13"/>
    <x v="50"/>
    <x v="16"/>
    <x v="50"/>
    <x v="2"/>
    <x v="1"/>
  </r>
  <r>
    <x v="21"/>
    <x v="51"/>
    <x v="2"/>
    <x v="2"/>
    <x v="2"/>
    <x v="17"/>
    <x v="51"/>
    <x v="10"/>
    <x v="51"/>
    <x v="22"/>
    <x v="51"/>
    <x v="3"/>
    <x v="1"/>
  </r>
  <r>
    <x v="49"/>
    <x v="52"/>
    <x v="1"/>
    <x v="3"/>
    <x v="0"/>
    <x v="0"/>
    <x v="52"/>
    <x v="3"/>
    <x v="52"/>
    <x v="20"/>
    <x v="52"/>
    <x v="2"/>
    <x v="1"/>
  </r>
  <r>
    <x v="50"/>
    <x v="53"/>
    <x v="2"/>
    <x v="2"/>
    <x v="3"/>
    <x v="15"/>
    <x v="53"/>
    <x v="12"/>
    <x v="53"/>
    <x v="2"/>
    <x v="53"/>
    <x v="3"/>
    <x v="2"/>
  </r>
  <r>
    <x v="51"/>
    <x v="54"/>
    <x v="1"/>
    <x v="4"/>
    <x v="0"/>
    <x v="18"/>
    <x v="54"/>
    <x v="1"/>
    <x v="54"/>
    <x v="8"/>
    <x v="54"/>
    <x v="3"/>
    <x v="2"/>
  </r>
  <r>
    <x v="52"/>
    <x v="55"/>
    <x v="1"/>
    <x v="1"/>
    <x v="0"/>
    <x v="19"/>
    <x v="55"/>
    <x v="7"/>
    <x v="55"/>
    <x v="8"/>
    <x v="55"/>
    <x v="1"/>
    <x v="2"/>
  </r>
  <r>
    <x v="16"/>
    <x v="56"/>
    <x v="1"/>
    <x v="1"/>
    <x v="1"/>
    <x v="16"/>
    <x v="56"/>
    <x v="14"/>
    <x v="56"/>
    <x v="23"/>
    <x v="56"/>
    <x v="3"/>
    <x v="2"/>
  </r>
  <r>
    <x v="53"/>
    <x v="57"/>
    <x v="0"/>
    <x v="2"/>
    <x v="2"/>
    <x v="4"/>
    <x v="57"/>
    <x v="8"/>
    <x v="57"/>
    <x v="10"/>
    <x v="57"/>
    <x v="1"/>
    <x v="1"/>
  </r>
  <r>
    <x v="54"/>
    <x v="58"/>
    <x v="1"/>
    <x v="0"/>
    <x v="1"/>
    <x v="5"/>
    <x v="58"/>
    <x v="3"/>
    <x v="58"/>
    <x v="8"/>
    <x v="58"/>
    <x v="0"/>
    <x v="0"/>
  </r>
  <r>
    <x v="55"/>
    <x v="59"/>
    <x v="2"/>
    <x v="1"/>
    <x v="0"/>
    <x v="19"/>
    <x v="59"/>
    <x v="8"/>
    <x v="59"/>
    <x v="12"/>
    <x v="59"/>
    <x v="2"/>
    <x v="2"/>
  </r>
  <r>
    <x v="56"/>
    <x v="60"/>
    <x v="1"/>
    <x v="4"/>
    <x v="1"/>
    <x v="5"/>
    <x v="60"/>
    <x v="4"/>
    <x v="60"/>
    <x v="17"/>
    <x v="60"/>
    <x v="1"/>
    <x v="2"/>
  </r>
  <r>
    <x v="57"/>
    <x v="61"/>
    <x v="1"/>
    <x v="0"/>
    <x v="2"/>
    <x v="11"/>
    <x v="61"/>
    <x v="7"/>
    <x v="61"/>
    <x v="12"/>
    <x v="61"/>
    <x v="3"/>
    <x v="0"/>
  </r>
  <r>
    <x v="58"/>
    <x v="62"/>
    <x v="2"/>
    <x v="3"/>
    <x v="3"/>
    <x v="15"/>
    <x v="62"/>
    <x v="1"/>
    <x v="62"/>
    <x v="15"/>
    <x v="62"/>
    <x v="1"/>
    <x v="2"/>
  </r>
  <r>
    <x v="59"/>
    <x v="63"/>
    <x v="0"/>
    <x v="0"/>
    <x v="1"/>
    <x v="1"/>
    <x v="63"/>
    <x v="6"/>
    <x v="63"/>
    <x v="4"/>
    <x v="63"/>
    <x v="3"/>
    <x v="0"/>
  </r>
  <r>
    <x v="60"/>
    <x v="64"/>
    <x v="0"/>
    <x v="4"/>
    <x v="3"/>
    <x v="12"/>
    <x v="64"/>
    <x v="14"/>
    <x v="64"/>
    <x v="9"/>
    <x v="64"/>
    <x v="2"/>
    <x v="2"/>
  </r>
  <r>
    <x v="61"/>
    <x v="65"/>
    <x v="2"/>
    <x v="1"/>
    <x v="1"/>
    <x v="2"/>
    <x v="65"/>
    <x v="13"/>
    <x v="65"/>
    <x v="24"/>
    <x v="65"/>
    <x v="2"/>
    <x v="0"/>
  </r>
  <r>
    <x v="62"/>
    <x v="66"/>
    <x v="2"/>
    <x v="1"/>
    <x v="2"/>
    <x v="6"/>
    <x v="66"/>
    <x v="0"/>
    <x v="66"/>
    <x v="18"/>
    <x v="66"/>
    <x v="2"/>
    <x v="0"/>
  </r>
  <r>
    <x v="63"/>
    <x v="67"/>
    <x v="3"/>
    <x v="3"/>
    <x v="2"/>
    <x v="8"/>
    <x v="67"/>
    <x v="10"/>
    <x v="67"/>
    <x v="25"/>
    <x v="67"/>
    <x v="1"/>
    <x v="2"/>
  </r>
  <r>
    <x v="64"/>
    <x v="68"/>
    <x v="2"/>
    <x v="1"/>
    <x v="0"/>
    <x v="7"/>
    <x v="68"/>
    <x v="12"/>
    <x v="68"/>
    <x v="0"/>
    <x v="68"/>
    <x v="0"/>
    <x v="2"/>
  </r>
  <r>
    <x v="65"/>
    <x v="69"/>
    <x v="3"/>
    <x v="4"/>
    <x v="0"/>
    <x v="13"/>
    <x v="69"/>
    <x v="8"/>
    <x v="69"/>
    <x v="26"/>
    <x v="69"/>
    <x v="0"/>
    <x v="0"/>
  </r>
  <r>
    <x v="66"/>
    <x v="70"/>
    <x v="3"/>
    <x v="3"/>
    <x v="3"/>
    <x v="9"/>
    <x v="70"/>
    <x v="11"/>
    <x v="70"/>
    <x v="8"/>
    <x v="70"/>
    <x v="3"/>
    <x v="0"/>
  </r>
  <r>
    <x v="67"/>
    <x v="71"/>
    <x v="3"/>
    <x v="4"/>
    <x v="0"/>
    <x v="7"/>
    <x v="71"/>
    <x v="2"/>
    <x v="71"/>
    <x v="14"/>
    <x v="71"/>
    <x v="2"/>
    <x v="2"/>
  </r>
  <r>
    <x v="68"/>
    <x v="72"/>
    <x v="2"/>
    <x v="2"/>
    <x v="0"/>
    <x v="18"/>
    <x v="72"/>
    <x v="13"/>
    <x v="72"/>
    <x v="23"/>
    <x v="72"/>
    <x v="3"/>
    <x v="2"/>
  </r>
  <r>
    <x v="69"/>
    <x v="73"/>
    <x v="3"/>
    <x v="2"/>
    <x v="3"/>
    <x v="9"/>
    <x v="73"/>
    <x v="4"/>
    <x v="73"/>
    <x v="27"/>
    <x v="73"/>
    <x v="1"/>
    <x v="1"/>
  </r>
  <r>
    <x v="70"/>
    <x v="74"/>
    <x v="2"/>
    <x v="2"/>
    <x v="3"/>
    <x v="14"/>
    <x v="74"/>
    <x v="0"/>
    <x v="74"/>
    <x v="26"/>
    <x v="74"/>
    <x v="3"/>
    <x v="1"/>
  </r>
  <r>
    <x v="71"/>
    <x v="75"/>
    <x v="0"/>
    <x v="4"/>
    <x v="3"/>
    <x v="9"/>
    <x v="75"/>
    <x v="2"/>
    <x v="75"/>
    <x v="5"/>
    <x v="75"/>
    <x v="0"/>
    <x v="0"/>
  </r>
  <r>
    <x v="72"/>
    <x v="76"/>
    <x v="3"/>
    <x v="1"/>
    <x v="3"/>
    <x v="15"/>
    <x v="76"/>
    <x v="4"/>
    <x v="76"/>
    <x v="19"/>
    <x v="76"/>
    <x v="3"/>
    <x v="0"/>
  </r>
  <r>
    <x v="73"/>
    <x v="77"/>
    <x v="1"/>
    <x v="4"/>
    <x v="1"/>
    <x v="1"/>
    <x v="77"/>
    <x v="1"/>
    <x v="77"/>
    <x v="12"/>
    <x v="77"/>
    <x v="0"/>
    <x v="1"/>
  </r>
  <r>
    <x v="74"/>
    <x v="78"/>
    <x v="3"/>
    <x v="3"/>
    <x v="0"/>
    <x v="18"/>
    <x v="78"/>
    <x v="10"/>
    <x v="78"/>
    <x v="18"/>
    <x v="78"/>
    <x v="1"/>
    <x v="2"/>
  </r>
  <r>
    <x v="63"/>
    <x v="79"/>
    <x v="2"/>
    <x v="2"/>
    <x v="1"/>
    <x v="2"/>
    <x v="79"/>
    <x v="2"/>
    <x v="79"/>
    <x v="10"/>
    <x v="79"/>
    <x v="3"/>
    <x v="2"/>
  </r>
  <r>
    <x v="75"/>
    <x v="80"/>
    <x v="3"/>
    <x v="1"/>
    <x v="1"/>
    <x v="2"/>
    <x v="80"/>
    <x v="14"/>
    <x v="80"/>
    <x v="6"/>
    <x v="80"/>
    <x v="3"/>
    <x v="0"/>
  </r>
  <r>
    <x v="76"/>
    <x v="81"/>
    <x v="2"/>
    <x v="0"/>
    <x v="1"/>
    <x v="16"/>
    <x v="81"/>
    <x v="5"/>
    <x v="81"/>
    <x v="13"/>
    <x v="81"/>
    <x v="0"/>
    <x v="1"/>
  </r>
  <r>
    <x v="77"/>
    <x v="82"/>
    <x v="3"/>
    <x v="1"/>
    <x v="2"/>
    <x v="4"/>
    <x v="82"/>
    <x v="4"/>
    <x v="82"/>
    <x v="7"/>
    <x v="82"/>
    <x v="2"/>
    <x v="2"/>
  </r>
  <r>
    <x v="78"/>
    <x v="83"/>
    <x v="2"/>
    <x v="3"/>
    <x v="1"/>
    <x v="16"/>
    <x v="83"/>
    <x v="11"/>
    <x v="83"/>
    <x v="17"/>
    <x v="83"/>
    <x v="1"/>
    <x v="1"/>
  </r>
  <r>
    <x v="79"/>
    <x v="84"/>
    <x v="1"/>
    <x v="4"/>
    <x v="3"/>
    <x v="9"/>
    <x v="84"/>
    <x v="5"/>
    <x v="84"/>
    <x v="5"/>
    <x v="84"/>
    <x v="3"/>
    <x v="0"/>
  </r>
  <r>
    <x v="80"/>
    <x v="85"/>
    <x v="2"/>
    <x v="3"/>
    <x v="0"/>
    <x v="19"/>
    <x v="85"/>
    <x v="13"/>
    <x v="85"/>
    <x v="28"/>
    <x v="85"/>
    <x v="0"/>
    <x v="0"/>
  </r>
  <r>
    <x v="81"/>
    <x v="86"/>
    <x v="1"/>
    <x v="3"/>
    <x v="0"/>
    <x v="7"/>
    <x v="86"/>
    <x v="8"/>
    <x v="86"/>
    <x v="29"/>
    <x v="86"/>
    <x v="1"/>
    <x v="0"/>
  </r>
  <r>
    <x v="82"/>
    <x v="87"/>
    <x v="1"/>
    <x v="0"/>
    <x v="3"/>
    <x v="15"/>
    <x v="87"/>
    <x v="13"/>
    <x v="87"/>
    <x v="6"/>
    <x v="87"/>
    <x v="3"/>
    <x v="2"/>
  </r>
  <r>
    <x v="83"/>
    <x v="88"/>
    <x v="1"/>
    <x v="3"/>
    <x v="2"/>
    <x v="6"/>
    <x v="88"/>
    <x v="14"/>
    <x v="88"/>
    <x v="18"/>
    <x v="88"/>
    <x v="1"/>
    <x v="1"/>
  </r>
  <r>
    <x v="84"/>
    <x v="89"/>
    <x v="1"/>
    <x v="2"/>
    <x v="1"/>
    <x v="3"/>
    <x v="89"/>
    <x v="8"/>
    <x v="89"/>
    <x v="27"/>
    <x v="89"/>
    <x v="2"/>
    <x v="2"/>
  </r>
  <r>
    <x v="85"/>
    <x v="90"/>
    <x v="2"/>
    <x v="2"/>
    <x v="3"/>
    <x v="14"/>
    <x v="90"/>
    <x v="12"/>
    <x v="90"/>
    <x v="15"/>
    <x v="90"/>
    <x v="0"/>
    <x v="1"/>
  </r>
  <r>
    <x v="86"/>
    <x v="91"/>
    <x v="1"/>
    <x v="1"/>
    <x v="3"/>
    <x v="14"/>
    <x v="91"/>
    <x v="5"/>
    <x v="91"/>
    <x v="2"/>
    <x v="91"/>
    <x v="3"/>
    <x v="0"/>
  </r>
  <r>
    <x v="87"/>
    <x v="92"/>
    <x v="3"/>
    <x v="3"/>
    <x v="1"/>
    <x v="1"/>
    <x v="92"/>
    <x v="8"/>
    <x v="92"/>
    <x v="6"/>
    <x v="92"/>
    <x v="2"/>
    <x v="2"/>
  </r>
  <r>
    <x v="88"/>
    <x v="93"/>
    <x v="2"/>
    <x v="2"/>
    <x v="1"/>
    <x v="5"/>
    <x v="93"/>
    <x v="12"/>
    <x v="93"/>
    <x v="7"/>
    <x v="93"/>
    <x v="3"/>
    <x v="1"/>
  </r>
  <r>
    <x v="89"/>
    <x v="94"/>
    <x v="0"/>
    <x v="2"/>
    <x v="0"/>
    <x v="0"/>
    <x v="94"/>
    <x v="10"/>
    <x v="94"/>
    <x v="28"/>
    <x v="94"/>
    <x v="3"/>
    <x v="1"/>
  </r>
  <r>
    <x v="90"/>
    <x v="95"/>
    <x v="2"/>
    <x v="4"/>
    <x v="1"/>
    <x v="2"/>
    <x v="95"/>
    <x v="5"/>
    <x v="95"/>
    <x v="16"/>
    <x v="95"/>
    <x v="3"/>
    <x v="0"/>
  </r>
  <r>
    <x v="91"/>
    <x v="96"/>
    <x v="0"/>
    <x v="4"/>
    <x v="2"/>
    <x v="11"/>
    <x v="96"/>
    <x v="10"/>
    <x v="96"/>
    <x v="16"/>
    <x v="96"/>
    <x v="3"/>
    <x v="1"/>
  </r>
  <r>
    <x v="92"/>
    <x v="97"/>
    <x v="2"/>
    <x v="2"/>
    <x v="3"/>
    <x v="14"/>
    <x v="97"/>
    <x v="0"/>
    <x v="97"/>
    <x v="19"/>
    <x v="97"/>
    <x v="2"/>
    <x v="1"/>
  </r>
  <r>
    <x v="28"/>
    <x v="98"/>
    <x v="2"/>
    <x v="0"/>
    <x v="2"/>
    <x v="6"/>
    <x v="98"/>
    <x v="4"/>
    <x v="98"/>
    <x v="1"/>
    <x v="98"/>
    <x v="1"/>
    <x v="1"/>
  </r>
  <r>
    <x v="93"/>
    <x v="99"/>
    <x v="0"/>
    <x v="2"/>
    <x v="2"/>
    <x v="6"/>
    <x v="99"/>
    <x v="10"/>
    <x v="99"/>
    <x v="11"/>
    <x v="99"/>
    <x v="3"/>
    <x v="1"/>
  </r>
  <r>
    <x v="94"/>
    <x v="100"/>
    <x v="3"/>
    <x v="1"/>
    <x v="1"/>
    <x v="2"/>
    <x v="100"/>
    <x v="12"/>
    <x v="100"/>
    <x v="22"/>
    <x v="100"/>
    <x v="3"/>
    <x v="2"/>
  </r>
  <r>
    <x v="95"/>
    <x v="101"/>
    <x v="3"/>
    <x v="3"/>
    <x v="1"/>
    <x v="5"/>
    <x v="101"/>
    <x v="2"/>
    <x v="101"/>
    <x v="21"/>
    <x v="101"/>
    <x v="2"/>
    <x v="1"/>
  </r>
  <r>
    <x v="96"/>
    <x v="102"/>
    <x v="1"/>
    <x v="4"/>
    <x v="2"/>
    <x v="6"/>
    <x v="102"/>
    <x v="14"/>
    <x v="102"/>
    <x v="0"/>
    <x v="102"/>
    <x v="3"/>
    <x v="1"/>
  </r>
  <r>
    <x v="97"/>
    <x v="103"/>
    <x v="1"/>
    <x v="3"/>
    <x v="1"/>
    <x v="3"/>
    <x v="103"/>
    <x v="11"/>
    <x v="103"/>
    <x v="8"/>
    <x v="103"/>
    <x v="1"/>
    <x v="0"/>
  </r>
  <r>
    <x v="98"/>
    <x v="104"/>
    <x v="1"/>
    <x v="1"/>
    <x v="0"/>
    <x v="19"/>
    <x v="104"/>
    <x v="3"/>
    <x v="104"/>
    <x v="15"/>
    <x v="104"/>
    <x v="1"/>
    <x v="2"/>
  </r>
  <r>
    <x v="99"/>
    <x v="105"/>
    <x v="0"/>
    <x v="4"/>
    <x v="0"/>
    <x v="0"/>
    <x v="105"/>
    <x v="2"/>
    <x v="105"/>
    <x v="29"/>
    <x v="105"/>
    <x v="0"/>
    <x v="0"/>
  </r>
  <r>
    <x v="100"/>
    <x v="106"/>
    <x v="0"/>
    <x v="1"/>
    <x v="2"/>
    <x v="11"/>
    <x v="106"/>
    <x v="8"/>
    <x v="78"/>
    <x v="10"/>
    <x v="106"/>
    <x v="0"/>
    <x v="2"/>
  </r>
  <r>
    <x v="83"/>
    <x v="107"/>
    <x v="3"/>
    <x v="1"/>
    <x v="2"/>
    <x v="11"/>
    <x v="107"/>
    <x v="1"/>
    <x v="106"/>
    <x v="4"/>
    <x v="107"/>
    <x v="3"/>
    <x v="0"/>
  </r>
  <r>
    <x v="101"/>
    <x v="108"/>
    <x v="0"/>
    <x v="1"/>
    <x v="3"/>
    <x v="15"/>
    <x v="108"/>
    <x v="12"/>
    <x v="107"/>
    <x v="18"/>
    <x v="108"/>
    <x v="1"/>
    <x v="2"/>
  </r>
  <r>
    <x v="102"/>
    <x v="109"/>
    <x v="1"/>
    <x v="3"/>
    <x v="1"/>
    <x v="1"/>
    <x v="109"/>
    <x v="14"/>
    <x v="108"/>
    <x v="8"/>
    <x v="109"/>
    <x v="3"/>
    <x v="2"/>
  </r>
  <r>
    <x v="103"/>
    <x v="110"/>
    <x v="1"/>
    <x v="1"/>
    <x v="2"/>
    <x v="11"/>
    <x v="110"/>
    <x v="6"/>
    <x v="109"/>
    <x v="27"/>
    <x v="110"/>
    <x v="3"/>
    <x v="2"/>
  </r>
  <r>
    <x v="104"/>
    <x v="111"/>
    <x v="0"/>
    <x v="2"/>
    <x v="3"/>
    <x v="12"/>
    <x v="111"/>
    <x v="1"/>
    <x v="110"/>
    <x v="12"/>
    <x v="111"/>
    <x v="1"/>
    <x v="1"/>
  </r>
  <r>
    <x v="105"/>
    <x v="112"/>
    <x v="2"/>
    <x v="1"/>
    <x v="1"/>
    <x v="3"/>
    <x v="112"/>
    <x v="4"/>
    <x v="111"/>
    <x v="16"/>
    <x v="112"/>
    <x v="3"/>
    <x v="2"/>
  </r>
  <r>
    <x v="106"/>
    <x v="113"/>
    <x v="2"/>
    <x v="0"/>
    <x v="3"/>
    <x v="9"/>
    <x v="113"/>
    <x v="6"/>
    <x v="112"/>
    <x v="14"/>
    <x v="113"/>
    <x v="3"/>
    <x v="1"/>
  </r>
  <r>
    <x v="107"/>
    <x v="114"/>
    <x v="0"/>
    <x v="0"/>
    <x v="0"/>
    <x v="7"/>
    <x v="114"/>
    <x v="0"/>
    <x v="113"/>
    <x v="8"/>
    <x v="114"/>
    <x v="3"/>
    <x v="2"/>
  </r>
  <r>
    <x v="108"/>
    <x v="115"/>
    <x v="0"/>
    <x v="3"/>
    <x v="1"/>
    <x v="2"/>
    <x v="115"/>
    <x v="3"/>
    <x v="114"/>
    <x v="28"/>
    <x v="115"/>
    <x v="0"/>
    <x v="2"/>
  </r>
  <r>
    <x v="0"/>
    <x v="116"/>
    <x v="0"/>
    <x v="2"/>
    <x v="1"/>
    <x v="5"/>
    <x v="116"/>
    <x v="13"/>
    <x v="115"/>
    <x v="17"/>
    <x v="116"/>
    <x v="3"/>
    <x v="0"/>
  </r>
  <r>
    <x v="109"/>
    <x v="117"/>
    <x v="3"/>
    <x v="3"/>
    <x v="3"/>
    <x v="10"/>
    <x v="42"/>
    <x v="10"/>
    <x v="116"/>
    <x v="21"/>
    <x v="117"/>
    <x v="0"/>
    <x v="0"/>
  </r>
  <r>
    <x v="110"/>
    <x v="118"/>
    <x v="2"/>
    <x v="2"/>
    <x v="1"/>
    <x v="5"/>
    <x v="117"/>
    <x v="3"/>
    <x v="117"/>
    <x v="17"/>
    <x v="118"/>
    <x v="3"/>
    <x v="1"/>
  </r>
  <r>
    <x v="111"/>
    <x v="119"/>
    <x v="2"/>
    <x v="4"/>
    <x v="1"/>
    <x v="2"/>
    <x v="118"/>
    <x v="5"/>
    <x v="118"/>
    <x v="23"/>
    <x v="1"/>
    <x v="0"/>
    <x v="0"/>
  </r>
  <r>
    <x v="112"/>
    <x v="120"/>
    <x v="0"/>
    <x v="0"/>
    <x v="0"/>
    <x v="7"/>
    <x v="119"/>
    <x v="0"/>
    <x v="119"/>
    <x v="6"/>
    <x v="119"/>
    <x v="1"/>
    <x v="1"/>
  </r>
  <r>
    <x v="113"/>
    <x v="121"/>
    <x v="0"/>
    <x v="2"/>
    <x v="0"/>
    <x v="13"/>
    <x v="120"/>
    <x v="2"/>
    <x v="120"/>
    <x v="21"/>
    <x v="120"/>
    <x v="3"/>
    <x v="1"/>
  </r>
  <r>
    <x v="114"/>
    <x v="122"/>
    <x v="1"/>
    <x v="3"/>
    <x v="0"/>
    <x v="18"/>
    <x v="121"/>
    <x v="10"/>
    <x v="121"/>
    <x v="8"/>
    <x v="121"/>
    <x v="3"/>
    <x v="1"/>
  </r>
  <r>
    <x v="46"/>
    <x v="123"/>
    <x v="2"/>
    <x v="0"/>
    <x v="0"/>
    <x v="19"/>
    <x v="122"/>
    <x v="7"/>
    <x v="122"/>
    <x v="7"/>
    <x v="122"/>
    <x v="0"/>
    <x v="2"/>
  </r>
  <r>
    <x v="115"/>
    <x v="124"/>
    <x v="3"/>
    <x v="4"/>
    <x v="3"/>
    <x v="14"/>
    <x v="123"/>
    <x v="2"/>
    <x v="123"/>
    <x v="0"/>
    <x v="123"/>
    <x v="1"/>
    <x v="1"/>
  </r>
  <r>
    <x v="116"/>
    <x v="125"/>
    <x v="2"/>
    <x v="3"/>
    <x v="3"/>
    <x v="10"/>
    <x v="124"/>
    <x v="13"/>
    <x v="124"/>
    <x v="8"/>
    <x v="124"/>
    <x v="2"/>
    <x v="0"/>
  </r>
  <r>
    <x v="34"/>
    <x v="126"/>
    <x v="0"/>
    <x v="3"/>
    <x v="0"/>
    <x v="18"/>
    <x v="125"/>
    <x v="14"/>
    <x v="125"/>
    <x v="23"/>
    <x v="125"/>
    <x v="1"/>
    <x v="2"/>
  </r>
  <r>
    <x v="32"/>
    <x v="127"/>
    <x v="2"/>
    <x v="1"/>
    <x v="0"/>
    <x v="18"/>
    <x v="126"/>
    <x v="7"/>
    <x v="126"/>
    <x v="5"/>
    <x v="126"/>
    <x v="0"/>
    <x v="1"/>
  </r>
  <r>
    <x v="54"/>
    <x v="128"/>
    <x v="3"/>
    <x v="4"/>
    <x v="1"/>
    <x v="16"/>
    <x v="127"/>
    <x v="2"/>
    <x v="127"/>
    <x v="6"/>
    <x v="127"/>
    <x v="2"/>
    <x v="0"/>
  </r>
  <r>
    <x v="5"/>
    <x v="129"/>
    <x v="1"/>
    <x v="2"/>
    <x v="0"/>
    <x v="19"/>
    <x v="128"/>
    <x v="1"/>
    <x v="128"/>
    <x v="7"/>
    <x v="128"/>
    <x v="1"/>
    <x v="1"/>
  </r>
  <r>
    <x v="52"/>
    <x v="130"/>
    <x v="3"/>
    <x v="0"/>
    <x v="0"/>
    <x v="18"/>
    <x v="129"/>
    <x v="3"/>
    <x v="129"/>
    <x v="8"/>
    <x v="129"/>
    <x v="3"/>
    <x v="1"/>
  </r>
  <r>
    <x v="117"/>
    <x v="131"/>
    <x v="3"/>
    <x v="1"/>
    <x v="3"/>
    <x v="12"/>
    <x v="130"/>
    <x v="0"/>
    <x v="130"/>
    <x v="3"/>
    <x v="130"/>
    <x v="0"/>
    <x v="2"/>
  </r>
  <r>
    <x v="40"/>
    <x v="132"/>
    <x v="3"/>
    <x v="3"/>
    <x v="1"/>
    <x v="2"/>
    <x v="131"/>
    <x v="10"/>
    <x v="131"/>
    <x v="0"/>
    <x v="131"/>
    <x v="1"/>
    <x v="1"/>
  </r>
  <r>
    <x v="118"/>
    <x v="133"/>
    <x v="3"/>
    <x v="0"/>
    <x v="3"/>
    <x v="12"/>
    <x v="132"/>
    <x v="10"/>
    <x v="132"/>
    <x v="18"/>
    <x v="132"/>
    <x v="0"/>
    <x v="0"/>
  </r>
  <r>
    <x v="59"/>
    <x v="134"/>
    <x v="3"/>
    <x v="0"/>
    <x v="3"/>
    <x v="10"/>
    <x v="133"/>
    <x v="10"/>
    <x v="133"/>
    <x v="19"/>
    <x v="133"/>
    <x v="0"/>
    <x v="2"/>
  </r>
  <r>
    <x v="119"/>
    <x v="135"/>
    <x v="1"/>
    <x v="3"/>
    <x v="2"/>
    <x v="17"/>
    <x v="134"/>
    <x v="8"/>
    <x v="134"/>
    <x v="19"/>
    <x v="134"/>
    <x v="2"/>
    <x v="1"/>
  </r>
  <r>
    <x v="26"/>
    <x v="136"/>
    <x v="2"/>
    <x v="0"/>
    <x v="0"/>
    <x v="19"/>
    <x v="135"/>
    <x v="9"/>
    <x v="135"/>
    <x v="3"/>
    <x v="135"/>
    <x v="3"/>
    <x v="1"/>
  </r>
  <r>
    <x v="120"/>
    <x v="137"/>
    <x v="3"/>
    <x v="0"/>
    <x v="1"/>
    <x v="1"/>
    <x v="136"/>
    <x v="2"/>
    <x v="136"/>
    <x v="7"/>
    <x v="136"/>
    <x v="2"/>
    <x v="1"/>
  </r>
  <r>
    <x v="105"/>
    <x v="138"/>
    <x v="1"/>
    <x v="4"/>
    <x v="3"/>
    <x v="9"/>
    <x v="137"/>
    <x v="11"/>
    <x v="137"/>
    <x v="8"/>
    <x v="137"/>
    <x v="0"/>
    <x v="1"/>
  </r>
  <r>
    <x v="121"/>
    <x v="139"/>
    <x v="1"/>
    <x v="4"/>
    <x v="2"/>
    <x v="17"/>
    <x v="138"/>
    <x v="4"/>
    <x v="138"/>
    <x v="18"/>
    <x v="138"/>
    <x v="2"/>
    <x v="2"/>
  </r>
  <r>
    <x v="103"/>
    <x v="140"/>
    <x v="1"/>
    <x v="1"/>
    <x v="1"/>
    <x v="16"/>
    <x v="139"/>
    <x v="14"/>
    <x v="139"/>
    <x v="30"/>
    <x v="139"/>
    <x v="0"/>
    <x v="2"/>
  </r>
  <r>
    <x v="66"/>
    <x v="141"/>
    <x v="1"/>
    <x v="3"/>
    <x v="1"/>
    <x v="16"/>
    <x v="140"/>
    <x v="13"/>
    <x v="140"/>
    <x v="0"/>
    <x v="140"/>
    <x v="3"/>
    <x v="0"/>
  </r>
  <r>
    <x v="36"/>
    <x v="142"/>
    <x v="3"/>
    <x v="0"/>
    <x v="2"/>
    <x v="17"/>
    <x v="141"/>
    <x v="0"/>
    <x v="141"/>
    <x v="8"/>
    <x v="141"/>
    <x v="3"/>
    <x v="0"/>
  </r>
  <r>
    <x v="122"/>
    <x v="143"/>
    <x v="0"/>
    <x v="4"/>
    <x v="3"/>
    <x v="14"/>
    <x v="142"/>
    <x v="7"/>
    <x v="142"/>
    <x v="11"/>
    <x v="142"/>
    <x v="0"/>
    <x v="2"/>
  </r>
  <r>
    <x v="72"/>
    <x v="144"/>
    <x v="1"/>
    <x v="1"/>
    <x v="2"/>
    <x v="8"/>
    <x v="143"/>
    <x v="6"/>
    <x v="143"/>
    <x v="17"/>
    <x v="143"/>
    <x v="2"/>
    <x v="2"/>
  </r>
  <r>
    <x v="35"/>
    <x v="145"/>
    <x v="2"/>
    <x v="0"/>
    <x v="2"/>
    <x v="6"/>
    <x v="144"/>
    <x v="14"/>
    <x v="144"/>
    <x v="12"/>
    <x v="144"/>
    <x v="0"/>
    <x v="0"/>
  </r>
  <r>
    <x v="123"/>
    <x v="146"/>
    <x v="0"/>
    <x v="4"/>
    <x v="2"/>
    <x v="4"/>
    <x v="145"/>
    <x v="8"/>
    <x v="145"/>
    <x v="23"/>
    <x v="145"/>
    <x v="2"/>
    <x v="2"/>
  </r>
  <r>
    <x v="124"/>
    <x v="147"/>
    <x v="1"/>
    <x v="1"/>
    <x v="2"/>
    <x v="11"/>
    <x v="146"/>
    <x v="5"/>
    <x v="146"/>
    <x v="4"/>
    <x v="146"/>
    <x v="1"/>
    <x v="1"/>
  </r>
  <r>
    <x v="125"/>
    <x v="148"/>
    <x v="1"/>
    <x v="3"/>
    <x v="0"/>
    <x v="19"/>
    <x v="147"/>
    <x v="5"/>
    <x v="147"/>
    <x v="27"/>
    <x v="147"/>
    <x v="2"/>
    <x v="2"/>
  </r>
  <r>
    <x v="126"/>
    <x v="149"/>
    <x v="2"/>
    <x v="4"/>
    <x v="0"/>
    <x v="7"/>
    <x v="148"/>
    <x v="3"/>
    <x v="148"/>
    <x v="1"/>
    <x v="148"/>
    <x v="3"/>
    <x v="1"/>
  </r>
  <r>
    <x v="127"/>
    <x v="150"/>
    <x v="3"/>
    <x v="4"/>
    <x v="2"/>
    <x v="8"/>
    <x v="149"/>
    <x v="6"/>
    <x v="149"/>
    <x v="17"/>
    <x v="149"/>
    <x v="2"/>
    <x v="1"/>
  </r>
  <r>
    <x v="128"/>
    <x v="151"/>
    <x v="1"/>
    <x v="1"/>
    <x v="0"/>
    <x v="18"/>
    <x v="150"/>
    <x v="4"/>
    <x v="150"/>
    <x v="5"/>
    <x v="150"/>
    <x v="2"/>
    <x v="0"/>
  </r>
  <r>
    <x v="77"/>
    <x v="152"/>
    <x v="1"/>
    <x v="1"/>
    <x v="3"/>
    <x v="12"/>
    <x v="151"/>
    <x v="13"/>
    <x v="151"/>
    <x v="27"/>
    <x v="151"/>
    <x v="1"/>
    <x v="0"/>
  </r>
  <r>
    <x v="129"/>
    <x v="153"/>
    <x v="2"/>
    <x v="2"/>
    <x v="2"/>
    <x v="6"/>
    <x v="152"/>
    <x v="0"/>
    <x v="152"/>
    <x v="11"/>
    <x v="152"/>
    <x v="3"/>
    <x v="1"/>
  </r>
  <r>
    <x v="119"/>
    <x v="154"/>
    <x v="3"/>
    <x v="1"/>
    <x v="0"/>
    <x v="0"/>
    <x v="153"/>
    <x v="3"/>
    <x v="153"/>
    <x v="8"/>
    <x v="153"/>
    <x v="0"/>
    <x v="2"/>
  </r>
  <r>
    <x v="64"/>
    <x v="155"/>
    <x v="1"/>
    <x v="1"/>
    <x v="0"/>
    <x v="19"/>
    <x v="154"/>
    <x v="8"/>
    <x v="154"/>
    <x v="7"/>
    <x v="154"/>
    <x v="1"/>
    <x v="2"/>
  </r>
  <r>
    <x v="130"/>
    <x v="156"/>
    <x v="1"/>
    <x v="4"/>
    <x v="3"/>
    <x v="9"/>
    <x v="155"/>
    <x v="13"/>
    <x v="155"/>
    <x v="23"/>
    <x v="155"/>
    <x v="2"/>
    <x v="1"/>
  </r>
  <r>
    <x v="131"/>
    <x v="157"/>
    <x v="1"/>
    <x v="4"/>
    <x v="1"/>
    <x v="3"/>
    <x v="156"/>
    <x v="5"/>
    <x v="156"/>
    <x v="16"/>
    <x v="156"/>
    <x v="0"/>
    <x v="1"/>
  </r>
  <r>
    <x v="132"/>
    <x v="158"/>
    <x v="0"/>
    <x v="2"/>
    <x v="0"/>
    <x v="7"/>
    <x v="157"/>
    <x v="8"/>
    <x v="157"/>
    <x v="22"/>
    <x v="157"/>
    <x v="0"/>
    <x v="1"/>
  </r>
  <r>
    <x v="133"/>
    <x v="159"/>
    <x v="2"/>
    <x v="3"/>
    <x v="3"/>
    <x v="14"/>
    <x v="158"/>
    <x v="5"/>
    <x v="158"/>
    <x v="20"/>
    <x v="158"/>
    <x v="2"/>
    <x v="1"/>
  </r>
  <r>
    <x v="134"/>
    <x v="160"/>
    <x v="2"/>
    <x v="0"/>
    <x v="2"/>
    <x v="6"/>
    <x v="159"/>
    <x v="3"/>
    <x v="159"/>
    <x v="5"/>
    <x v="159"/>
    <x v="3"/>
    <x v="2"/>
  </r>
  <r>
    <x v="78"/>
    <x v="161"/>
    <x v="3"/>
    <x v="4"/>
    <x v="2"/>
    <x v="11"/>
    <x v="160"/>
    <x v="14"/>
    <x v="160"/>
    <x v="28"/>
    <x v="160"/>
    <x v="3"/>
    <x v="0"/>
  </r>
  <r>
    <x v="135"/>
    <x v="162"/>
    <x v="1"/>
    <x v="2"/>
    <x v="3"/>
    <x v="9"/>
    <x v="161"/>
    <x v="8"/>
    <x v="161"/>
    <x v="20"/>
    <x v="161"/>
    <x v="0"/>
    <x v="0"/>
  </r>
  <r>
    <x v="23"/>
    <x v="163"/>
    <x v="3"/>
    <x v="1"/>
    <x v="3"/>
    <x v="12"/>
    <x v="162"/>
    <x v="11"/>
    <x v="162"/>
    <x v="7"/>
    <x v="162"/>
    <x v="1"/>
    <x v="2"/>
  </r>
  <r>
    <x v="136"/>
    <x v="164"/>
    <x v="1"/>
    <x v="4"/>
    <x v="3"/>
    <x v="15"/>
    <x v="163"/>
    <x v="1"/>
    <x v="163"/>
    <x v="26"/>
    <x v="163"/>
    <x v="0"/>
    <x v="1"/>
  </r>
  <r>
    <x v="137"/>
    <x v="165"/>
    <x v="1"/>
    <x v="2"/>
    <x v="0"/>
    <x v="13"/>
    <x v="164"/>
    <x v="0"/>
    <x v="164"/>
    <x v="8"/>
    <x v="164"/>
    <x v="3"/>
    <x v="0"/>
  </r>
  <r>
    <x v="138"/>
    <x v="166"/>
    <x v="1"/>
    <x v="1"/>
    <x v="0"/>
    <x v="19"/>
    <x v="165"/>
    <x v="6"/>
    <x v="165"/>
    <x v="4"/>
    <x v="165"/>
    <x v="2"/>
    <x v="2"/>
  </r>
  <r>
    <x v="139"/>
    <x v="167"/>
    <x v="3"/>
    <x v="4"/>
    <x v="3"/>
    <x v="15"/>
    <x v="166"/>
    <x v="14"/>
    <x v="166"/>
    <x v="20"/>
    <x v="166"/>
    <x v="1"/>
    <x v="2"/>
  </r>
  <r>
    <x v="140"/>
    <x v="168"/>
    <x v="0"/>
    <x v="3"/>
    <x v="1"/>
    <x v="1"/>
    <x v="167"/>
    <x v="14"/>
    <x v="167"/>
    <x v="7"/>
    <x v="167"/>
    <x v="2"/>
    <x v="2"/>
  </r>
  <r>
    <x v="141"/>
    <x v="169"/>
    <x v="0"/>
    <x v="1"/>
    <x v="0"/>
    <x v="7"/>
    <x v="168"/>
    <x v="7"/>
    <x v="168"/>
    <x v="8"/>
    <x v="168"/>
    <x v="0"/>
    <x v="1"/>
  </r>
  <r>
    <x v="142"/>
    <x v="170"/>
    <x v="3"/>
    <x v="1"/>
    <x v="0"/>
    <x v="13"/>
    <x v="169"/>
    <x v="11"/>
    <x v="169"/>
    <x v="12"/>
    <x v="169"/>
    <x v="2"/>
    <x v="2"/>
  </r>
  <r>
    <x v="143"/>
    <x v="171"/>
    <x v="3"/>
    <x v="3"/>
    <x v="3"/>
    <x v="12"/>
    <x v="170"/>
    <x v="9"/>
    <x v="170"/>
    <x v="22"/>
    <x v="170"/>
    <x v="3"/>
    <x v="2"/>
  </r>
  <r>
    <x v="144"/>
    <x v="172"/>
    <x v="1"/>
    <x v="2"/>
    <x v="3"/>
    <x v="15"/>
    <x v="171"/>
    <x v="14"/>
    <x v="171"/>
    <x v="22"/>
    <x v="44"/>
    <x v="1"/>
    <x v="1"/>
  </r>
  <r>
    <x v="42"/>
    <x v="173"/>
    <x v="3"/>
    <x v="4"/>
    <x v="2"/>
    <x v="8"/>
    <x v="172"/>
    <x v="13"/>
    <x v="172"/>
    <x v="0"/>
    <x v="171"/>
    <x v="0"/>
    <x v="1"/>
  </r>
  <r>
    <x v="145"/>
    <x v="174"/>
    <x v="0"/>
    <x v="2"/>
    <x v="3"/>
    <x v="15"/>
    <x v="173"/>
    <x v="2"/>
    <x v="173"/>
    <x v="10"/>
    <x v="172"/>
    <x v="1"/>
    <x v="0"/>
  </r>
  <r>
    <x v="146"/>
    <x v="175"/>
    <x v="3"/>
    <x v="1"/>
    <x v="0"/>
    <x v="0"/>
    <x v="174"/>
    <x v="10"/>
    <x v="174"/>
    <x v="2"/>
    <x v="173"/>
    <x v="2"/>
    <x v="0"/>
  </r>
  <r>
    <x v="75"/>
    <x v="176"/>
    <x v="0"/>
    <x v="0"/>
    <x v="3"/>
    <x v="15"/>
    <x v="175"/>
    <x v="11"/>
    <x v="175"/>
    <x v="26"/>
    <x v="174"/>
    <x v="2"/>
    <x v="2"/>
  </r>
  <r>
    <x v="21"/>
    <x v="177"/>
    <x v="1"/>
    <x v="1"/>
    <x v="1"/>
    <x v="16"/>
    <x v="176"/>
    <x v="5"/>
    <x v="176"/>
    <x v="2"/>
    <x v="175"/>
    <x v="2"/>
    <x v="0"/>
  </r>
  <r>
    <x v="133"/>
    <x v="178"/>
    <x v="3"/>
    <x v="1"/>
    <x v="0"/>
    <x v="13"/>
    <x v="177"/>
    <x v="6"/>
    <x v="177"/>
    <x v="9"/>
    <x v="176"/>
    <x v="3"/>
    <x v="2"/>
  </r>
  <r>
    <x v="147"/>
    <x v="179"/>
    <x v="3"/>
    <x v="1"/>
    <x v="0"/>
    <x v="19"/>
    <x v="178"/>
    <x v="4"/>
    <x v="178"/>
    <x v="13"/>
    <x v="177"/>
    <x v="3"/>
    <x v="0"/>
  </r>
  <r>
    <x v="148"/>
    <x v="180"/>
    <x v="1"/>
    <x v="1"/>
    <x v="2"/>
    <x v="17"/>
    <x v="179"/>
    <x v="12"/>
    <x v="179"/>
    <x v="26"/>
    <x v="178"/>
    <x v="1"/>
    <x v="2"/>
  </r>
  <r>
    <x v="53"/>
    <x v="181"/>
    <x v="1"/>
    <x v="1"/>
    <x v="1"/>
    <x v="5"/>
    <x v="180"/>
    <x v="5"/>
    <x v="180"/>
    <x v="23"/>
    <x v="179"/>
    <x v="0"/>
    <x v="0"/>
  </r>
  <r>
    <x v="149"/>
    <x v="182"/>
    <x v="2"/>
    <x v="4"/>
    <x v="3"/>
    <x v="9"/>
    <x v="181"/>
    <x v="2"/>
    <x v="181"/>
    <x v="28"/>
    <x v="180"/>
    <x v="0"/>
    <x v="1"/>
  </r>
  <r>
    <x v="150"/>
    <x v="183"/>
    <x v="3"/>
    <x v="4"/>
    <x v="2"/>
    <x v="8"/>
    <x v="182"/>
    <x v="10"/>
    <x v="182"/>
    <x v="21"/>
    <x v="181"/>
    <x v="0"/>
    <x v="0"/>
  </r>
  <r>
    <x v="37"/>
    <x v="184"/>
    <x v="0"/>
    <x v="2"/>
    <x v="2"/>
    <x v="4"/>
    <x v="183"/>
    <x v="5"/>
    <x v="183"/>
    <x v="27"/>
    <x v="182"/>
    <x v="3"/>
    <x v="1"/>
  </r>
  <r>
    <x v="151"/>
    <x v="185"/>
    <x v="2"/>
    <x v="1"/>
    <x v="3"/>
    <x v="12"/>
    <x v="184"/>
    <x v="3"/>
    <x v="184"/>
    <x v="7"/>
    <x v="183"/>
    <x v="2"/>
    <x v="1"/>
  </r>
  <r>
    <x v="0"/>
    <x v="186"/>
    <x v="0"/>
    <x v="0"/>
    <x v="1"/>
    <x v="1"/>
    <x v="185"/>
    <x v="8"/>
    <x v="185"/>
    <x v="9"/>
    <x v="184"/>
    <x v="2"/>
    <x v="1"/>
  </r>
  <r>
    <x v="152"/>
    <x v="187"/>
    <x v="1"/>
    <x v="2"/>
    <x v="2"/>
    <x v="6"/>
    <x v="186"/>
    <x v="2"/>
    <x v="186"/>
    <x v="22"/>
    <x v="185"/>
    <x v="2"/>
    <x v="0"/>
  </r>
  <r>
    <x v="122"/>
    <x v="188"/>
    <x v="2"/>
    <x v="3"/>
    <x v="3"/>
    <x v="14"/>
    <x v="187"/>
    <x v="5"/>
    <x v="187"/>
    <x v="8"/>
    <x v="186"/>
    <x v="2"/>
    <x v="1"/>
  </r>
  <r>
    <x v="153"/>
    <x v="189"/>
    <x v="0"/>
    <x v="1"/>
    <x v="2"/>
    <x v="17"/>
    <x v="188"/>
    <x v="2"/>
    <x v="188"/>
    <x v="8"/>
    <x v="187"/>
    <x v="2"/>
    <x v="2"/>
  </r>
  <r>
    <x v="63"/>
    <x v="190"/>
    <x v="3"/>
    <x v="3"/>
    <x v="0"/>
    <x v="19"/>
    <x v="189"/>
    <x v="12"/>
    <x v="189"/>
    <x v="23"/>
    <x v="188"/>
    <x v="0"/>
    <x v="2"/>
  </r>
  <r>
    <x v="154"/>
    <x v="191"/>
    <x v="2"/>
    <x v="0"/>
    <x v="3"/>
    <x v="9"/>
    <x v="190"/>
    <x v="10"/>
    <x v="190"/>
    <x v="10"/>
    <x v="189"/>
    <x v="0"/>
    <x v="1"/>
  </r>
  <r>
    <x v="155"/>
    <x v="192"/>
    <x v="2"/>
    <x v="2"/>
    <x v="1"/>
    <x v="16"/>
    <x v="191"/>
    <x v="1"/>
    <x v="191"/>
    <x v="6"/>
    <x v="190"/>
    <x v="2"/>
    <x v="0"/>
  </r>
  <r>
    <x v="20"/>
    <x v="193"/>
    <x v="2"/>
    <x v="2"/>
    <x v="3"/>
    <x v="15"/>
    <x v="192"/>
    <x v="3"/>
    <x v="192"/>
    <x v="13"/>
    <x v="191"/>
    <x v="1"/>
    <x v="1"/>
  </r>
  <r>
    <x v="101"/>
    <x v="194"/>
    <x v="3"/>
    <x v="0"/>
    <x v="1"/>
    <x v="3"/>
    <x v="193"/>
    <x v="13"/>
    <x v="193"/>
    <x v="17"/>
    <x v="192"/>
    <x v="2"/>
    <x v="2"/>
  </r>
  <r>
    <x v="24"/>
    <x v="195"/>
    <x v="1"/>
    <x v="1"/>
    <x v="1"/>
    <x v="5"/>
    <x v="194"/>
    <x v="3"/>
    <x v="194"/>
    <x v="22"/>
    <x v="193"/>
    <x v="1"/>
    <x v="0"/>
  </r>
  <r>
    <x v="24"/>
    <x v="196"/>
    <x v="0"/>
    <x v="4"/>
    <x v="0"/>
    <x v="19"/>
    <x v="195"/>
    <x v="11"/>
    <x v="195"/>
    <x v="21"/>
    <x v="194"/>
    <x v="1"/>
    <x v="1"/>
  </r>
  <r>
    <x v="156"/>
    <x v="197"/>
    <x v="2"/>
    <x v="2"/>
    <x v="0"/>
    <x v="19"/>
    <x v="196"/>
    <x v="6"/>
    <x v="196"/>
    <x v="28"/>
    <x v="195"/>
    <x v="2"/>
    <x v="1"/>
  </r>
  <r>
    <x v="157"/>
    <x v="198"/>
    <x v="1"/>
    <x v="3"/>
    <x v="2"/>
    <x v="4"/>
    <x v="197"/>
    <x v="6"/>
    <x v="197"/>
    <x v="23"/>
    <x v="196"/>
    <x v="0"/>
    <x v="0"/>
  </r>
  <r>
    <x v="158"/>
    <x v="199"/>
    <x v="3"/>
    <x v="4"/>
    <x v="1"/>
    <x v="5"/>
    <x v="198"/>
    <x v="6"/>
    <x v="198"/>
    <x v="10"/>
    <x v="197"/>
    <x v="1"/>
    <x v="1"/>
  </r>
  <r>
    <x v="159"/>
    <x v="200"/>
    <x v="3"/>
    <x v="2"/>
    <x v="3"/>
    <x v="14"/>
    <x v="199"/>
    <x v="8"/>
    <x v="199"/>
    <x v="17"/>
    <x v="198"/>
    <x v="3"/>
    <x v="0"/>
  </r>
  <r>
    <x v="73"/>
    <x v="201"/>
    <x v="2"/>
    <x v="0"/>
    <x v="1"/>
    <x v="16"/>
    <x v="200"/>
    <x v="12"/>
    <x v="200"/>
    <x v="23"/>
    <x v="199"/>
    <x v="2"/>
    <x v="0"/>
  </r>
  <r>
    <x v="160"/>
    <x v="202"/>
    <x v="0"/>
    <x v="2"/>
    <x v="2"/>
    <x v="17"/>
    <x v="201"/>
    <x v="2"/>
    <x v="201"/>
    <x v="20"/>
    <x v="200"/>
    <x v="0"/>
    <x v="1"/>
  </r>
  <r>
    <x v="161"/>
    <x v="203"/>
    <x v="0"/>
    <x v="3"/>
    <x v="2"/>
    <x v="6"/>
    <x v="202"/>
    <x v="10"/>
    <x v="202"/>
    <x v="28"/>
    <x v="201"/>
    <x v="0"/>
    <x v="2"/>
  </r>
  <r>
    <x v="71"/>
    <x v="204"/>
    <x v="1"/>
    <x v="1"/>
    <x v="0"/>
    <x v="18"/>
    <x v="203"/>
    <x v="5"/>
    <x v="203"/>
    <x v="21"/>
    <x v="202"/>
    <x v="2"/>
    <x v="0"/>
  </r>
  <r>
    <x v="100"/>
    <x v="205"/>
    <x v="2"/>
    <x v="3"/>
    <x v="0"/>
    <x v="18"/>
    <x v="204"/>
    <x v="14"/>
    <x v="204"/>
    <x v="5"/>
    <x v="203"/>
    <x v="1"/>
    <x v="1"/>
  </r>
  <r>
    <x v="77"/>
    <x v="206"/>
    <x v="2"/>
    <x v="0"/>
    <x v="2"/>
    <x v="8"/>
    <x v="205"/>
    <x v="12"/>
    <x v="205"/>
    <x v="24"/>
    <x v="204"/>
    <x v="3"/>
    <x v="0"/>
  </r>
  <r>
    <x v="162"/>
    <x v="207"/>
    <x v="3"/>
    <x v="0"/>
    <x v="3"/>
    <x v="10"/>
    <x v="206"/>
    <x v="10"/>
    <x v="206"/>
    <x v="12"/>
    <x v="205"/>
    <x v="3"/>
    <x v="0"/>
  </r>
  <r>
    <x v="163"/>
    <x v="208"/>
    <x v="3"/>
    <x v="0"/>
    <x v="3"/>
    <x v="9"/>
    <x v="207"/>
    <x v="13"/>
    <x v="207"/>
    <x v="2"/>
    <x v="206"/>
    <x v="2"/>
    <x v="2"/>
  </r>
  <r>
    <x v="164"/>
    <x v="209"/>
    <x v="2"/>
    <x v="0"/>
    <x v="0"/>
    <x v="0"/>
    <x v="208"/>
    <x v="7"/>
    <x v="208"/>
    <x v="8"/>
    <x v="207"/>
    <x v="2"/>
    <x v="2"/>
  </r>
  <r>
    <x v="165"/>
    <x v="210"/>
    <x v="3"/>
    <x v="4"/>
    <x v="1"/>
    <x v="2"/>
    <x v="209"/>
    <x v="14"/>
    <x v="209"/>
    <x v="16"/>
    <x v="208"/>
    <x v="0"/>
    <x v="2"/>
  </r>
  <r>
    <x v="127"/>
    <x v="211"/>
    <x v="1"/>
    <x v="4"/>
    <x v="2"/>
    <x v="8"/>
    <x v="210"/>
    <x v="3"/>
    <x v="210"/>
    <x v="18"/>
    <x v="209"/>
    <x v="2"/>
    <x v="1"/>
  </r>
  <r>
    <x v="166"/>
    <x v="212"/>
    <x v="0"/>
    <x v="4"/>
    <x v="0"/>
    <x v="19"/>
    <x v="211"/>
    <x v="0"/>
    <x v="211"/>
    <x v="12"/>
    <x v="210"/>
    <x v="1"/>
    <x v="2"/>
  </r>
  <r>
    <x v="167"/>
    <x v="213"/>
    <x v="1"/>
    <x v="2"/>
    <x v="2"/>
    <x v="6"/>
    <x v="212"/>
    <x v="13"/>
    <x v="212"/>
    <x v="12"/>
    <x v="211"/>
    <x v="1"/>
    <x v="2"/>
  </r>
  <r>
    <x v="168"/>
    <x v="214"/>
    <x v="3"/>
    <x v="1"/>
    <x v="1"/>
    <x v="16"/>
    <x v="213"/>
    <x v="2"/>
    <x v="213"/>
    <x v="2"/>
    <x v="212"/>
    <x v="2"/>
    <x v="2"/>
  </r>
  <r>
    <x v="169"/>
    <x v="215"/>
    <x v="3"/>
    <x v="2"/>
    <x v="1"/>
    <x v="3"/>
    <x v="214"/>
    <x v="3"/>
    <x v="214"/>
    <x v="25"/>
    <x v="213"/>
    <x v="3"/>
    <x v="2"/>
  </r>
  <r>
    <x v="32"/>
    <x v="216"/>
    <x v="0"/>
    <x v="2"/>
    <x v="1"/>
    <x v="3"/>
    <x v="215"/>
    <x v="7"/>
    <x v="215"/>
    <x v="2"/>
    <x v="214"/>
    <x v="2"/>
    <x v="2"/>
  </r>
  <r>
    <x v="129"/>
    <x v="217"/>
    <x v="2"/>
    <x v="1"/>
    <x v="3"/>
    <x v="14"/>
    <x v="216"/>
    <x v="2"/>
    <x v="216"/>
    <x v="17"/>
    <x v="215"/>
    <x v="2"/>
    <x v="2"/>
  </r>
  <r>
    <x v="170"/>
    <x v="218"/>
    <x v="3"/>
    <x v="2"/>
    <x v="0"/>
    <x v="19"/>
    <x v="217"/>
    <x v="8"/>
    <x v="217"/>
    <x v="30"/>
    <x v="216"/>
    <x v="1"/>
    <x v="0"/>
  </r>
  <r>
    <x v="171"/>
    <x v="219"/>
    <x v="0"/>
    <x v="0"/>
    <x v="0"/>
    <x v="7"/>
    <x v="218"/>
    <x v="12"/>
    <x v="218"/>
    <x v="23"/>
    <x v="217"/>
    <x v="3"/>
    <x v="0"/>
  </r>
  <r>
    <x v="40"/>
    <x v="220"/>
    <x v="2"/>
    <x v="3"/>
    <x v="0"/>
    <x v="7"/>
    <x v="219"/>
    <x v="3"/>
    <x v="219"/>
    <x v="9"/>
    <x v="218"/>
    <x v="1"/>
    <x v="1"/>
  </r>
  <r>
    <x v="172"/>
    <x v="221"/>
    <x v="3"/>
    <x v="2"/>
    <x v="1"/>
    <x v="1"/>
    <x v="220"/>
    <x v="1"/>
    <x v="220"/>
    <x v="4"/>
    <x v="219"/>
    <x v="2"/>
    <x v="0"/>
  </r>
  <r>
    <x v="157"/>
    <x v="222"/>
    <x v="3"/>
    <x v="0"/>
    <x v="2"/>
    <x v="6"/>
    <x v="221"/>
    <x v="12"/>
    <x v="221"/>
    <x v="7"/>
    <x v="220"/>
    <x v="0"/>
    <x v="2"/>
  </r>
  <r>
    <x v="94"/>
    <x v="223"/>
    <x v="3"/>
    <x v="2"/>
    <x v="0"/>
    <x v="7"/>
    <x v="222"/>
    <x v="14"/>
    <x v="222"/>
    <x v="26"/>
    <x v="221"/>
    <x v="3"/>
    <x v="1"/>
  </r>
  <r>
    <x v="25"/>
    <x v="224"/>
    <x v="2"/>
    <x v="2"/>
    <x v="3"/>
    <x v="9"/>
    <x v="223"/>
    <x v="6"/>
    <x v="223"/>
    <x v="16"/>
    <x v="222"/>
    <x v="0"/>
    <x v="0"/>
  </r>
  <r>
    <x v="72"/>
    <x v="225"/>
    <x v="1"/>
    <x v="1"/>
    <x v="3"/>
    <x v="12"/>
    <x v="224"/>
    <x v="8"/>
    <x v="224"/>
    <x v="5"/>
    <x v="223"/>
    <x v="3"/>
    <x v="1"/>
  </r>
  <r>
    <x v="173"/>
    <x v="226"/>
    <x v="3"/>
    <x v="1"/>
    <x v="1"/>
    <x v="1"/>
    <x v="225"/>
    <x v="7"/>
    <x v="225"/>
    <x v="20"/>
    <x v="224"/>
    <x v="2"/>
    <x v="0"/>
  </r>
  <r>
    <x v="63"/>
    <x v="227"/>
    <x v="2"/>
    <x v="1"/>
    <x v="1"/>
    <x v="5"/>
    <x v="226"/>
    <x v="8"/>
    <x v="226"/>
    <x v="21"/>
    <x v="225"/>
    <x v="1"/>
    <x v="2"/>
  </r>
  <r>
    <x v="109"/>
    <x v="228"/>
    <x v="1"/>
    <x v="2"/>
    <x v="0"/>
    <x v="19"/>
    <x v="227"/>
    <x v="10"/>
    <x v="227"/>
    <x v="21"/>
    <x v="226"/>
    <x v="3"/>
    <x v="1"/>
  </r>
  <r>
    <x v="174"/>
    <x v="229"/>
    <x v="3"/>
    <x v="3"/>
    <x v="0"/>
    <x v="0"/>
    <x v="228"/>
    <x v="6"/>
    <x v="228"/>
    <x v="3"/>
    <x v="227"/>
    <x v="2"/>
    <x v="1"/>
  </r>
  <r>
    <x v="62"/>
    <x v="230"/>
    <x v="1"/>
    <x v="1"/>
    <x v="0"/>
    <x v="0"/>
    <x v="229"/>
    <x v="2"/>
    <x v="229"/>
    <x v="16"/>
    <x v="228"/>
    <x v="0"/>
    <x v="1"/>
  </r>
  <r>
    <x v="108"/>
    <x v="231"/>
    <x v="2"/>
    <x v="1"/>
    <x v="0"/>
    <x v="13"/>
    <x v="230"/>
    <x v="7"/>
    <x v="230"/>
    <x v="13"/>
    <x v="229"/>
    <x v="3"/>
    <x v="1"/>
  </r>
  <r>
    <x v="175"/>
    <x v="232"/>
    <x v="2"/>
    <x v="2"/>
    <x v="3"/>
    <x v="9"/>
    <x v="231"/>
    <x v="0"/>
    <x v="231"/>
    <x v="5"/>
    <x v="230"/>
    <x v="0"/>
    <x v="2"/>
  </r>
  <r>
    <x v="21"/>
    <x v="233"/>
    <x v="3"/>
    <x v="2"/>
    <x v="2"/>
    <x v="6"/>
    <x v="232"/>
    <x v="10"/>
    <x v="232"/>
    <x v="0"/>
    <x v="231"/>
    <x v="0"/>
    <x v="0"/>
  </r>
  <r>
    <x v="91"/>
    <x v="234"/>
    <x v="2"/>
    <x v="4"/>
    <x v="1"/>
    <x v="16"/>
    <x v="233"/>
    <x v="4"/>
    <x v="233"/>
    <x v="10"/>
    <x v="232"/>
    <x v="1"/>
    <x v="0"/>
  </r>
  <r>
    <x v="140"/>
    <x v="235"/>
    <x v="0"/>
    <x v="2"/>
    <x v="3"/>
    <x v="10"/>
    <x v="234"/>
    <x v="8"/>
    <x v="234"/>
    <x v="27"/>
    <x v="233"/>
    <x v="0"/>
    <x v="0"/>
  </r>
  <r>
    <x v="176"/>
    <x v="236"/>
    <x v="0"/>
    <x v="1"/>
    <x v="3"/>
    <x v="9"/>
    <x v="235"/>
    <x v="13"/>
    <x v="235"/>
    <x v="8"/>
    <x v="234"/>
    <x v="3"/>
    <x v="1"/>
  </r>
  <r>
    <x v="129"/>
    <x v="237"/>
    <x v="3"/>
    <x v="4"/>
    <x v="1"/>
    <x v="16"/>
    <x v="236"/>
    <x v="11"/>
    <x v="236"/>
    <x v="8"/>
    <x v="235"/>
    <x v="0"/>
    <x v="2"/>
  </r>
  <r>
    <x v="177"/>
    <x v="238"/>
    <x v="0"/>
    <x v="3"/>
    <x v="2"/>
    <x v="4"/>
    <x v="237"/>
    <x v="9"/>
    <x v="237"/>
    <x v="27"/>
    <x v="236"/>
    <x v="2"/>
    <x v="2"/>
  </r>
  <r>
    <x v="178"/>
    <x v="239"/>
    <x v="2"/>
    <x v="0"/>
    <x v="3"/>
    <x v="15"/>
    <x v="238"/>
    <x v="12"/>
    <x v="238"/>
    <x v="24"/>
    <x v="237"/>
    <x v="3"/>
    <x v="1"/>
  </r>
  <r>
    <x v="179"/>
    <x v="240"/>
    <x v="1"/>
    <x v="0"/>
    <x v="2"/>
    <x v="6"/>
    <x v="239"/>
    <x v="13"/>
    <x v="239"/>
    <x v="17"/>
    <x v="238"/>
    <x v="3"/>
    <x v="0"/>
  </r>
  <r>
    <x v="61"/>
    <x v="241"/>
    <x v="2"/>
    <x v="1"/>
    <x v="2"/>
    <x v="4"/>
    <x v="240"/>
    <x v="13"/>
    <x v="240"/>
    <x v="2"/>
    <x v="239"/>
    <x v="2"/>
    <x v="0"/>
  </r>
  <r>
    <x v="81"/>
    <x v="242"/>
    <x v="0"/>
    <x v="2"/>
    <x v="0"/>
    <x v="0"/>
    <x v="241"/>
    <x v="0"/>
    <x v="241"/>
    <x v="16"/>
    <x v="240"/>
    <x v="1"/>
    <x v="2"/>
  </r>
  <r>
    <x v="180"/>
    <x v="243"/>
    <x v="1"/>
    <x v="1"/>
    <x v="3"/>
    <x v="15"/>
    <x v="242"/>
    <x v="6"/>
    <x v="242"/>
    <x v="20"/>
    <x v="241"/>
    <x v="2"/>
    <x v="1"/>
  </r>
  <r>
    <x v="124"/>
    <x v="244"/>
    <x v="1"/>
    <x v="0"/>
    <x v="1"/>
    <x v="5"/>
    <x v="243"/>
    <x v="9"/>
    <x v="243"/>
    <x v="25"/>
    <x v="242"/>
    <x v="1"/>
    <x v="2"/>
  </r>
  <r>
    <x v="40"/>
    <x v="245"/>
    <x v="3"/>
    <x v="0"/>
    <x v="0"/>
    <x v="18"/>
    <x v="244"/>
    <x v="3"/>
    <x v="244"/>
    <x v="29"/>
    <x v="243"/>
    <x v="3"/>
    <x v="2"/>
  </r>
  <r>
    <x v="181"/>
    <x v="246"/>
    <x v="0"/>
    <x v="1"/>
    <x v="2"/>
    <x v="6"/>
    <x v="245"/>
    <x v="2"/>
    <x v="245"/>
    <x v="8"/>
    <x v="244"/>
    <x v="1"/>
    <x v="2"/>
  </r>
  <r>
    <x v="182"/>
    <x v="247"/>
    <x v="0"/>
    <x v="1"/>
    <x v="1"/>
    <x v="5"/>
    <x v="246"/>
    <x v="1"/>
    <x v="246"/>
    <x v="9"/>
    <x v="245"/>
    <x v="2"/>
    <x v="2"/>
  </r>
  <r>
    <x v="183"/>
    <x v="248"/>
    <x v="1"/>
    <x v="4"/>
    <x v="0"/>
    <x v="19"/>
    <x v="247"/>
    <x v="12"/>
    <x v="247"/>
    <x v="8"/>
    <x v="246"/>
    <x v="3"/>
    <x v="0"/>
  </r>
  <r>
    <x v="150"/>
    <x v="249"/>
    <x v="3"/>
    <x v="3"/>
    <x v="1"/>
    <x v="2"/>
    <x v="248"/>
    <x v="12"/>
    <x v="248"/>
    <x v="16"/>
    <x v="247"/>
    <x v="0"/>
    <x v="2"/>
  </r>
  <r>
    <x v="119"/>
    <x v="250"/>
    <x v="3"/>
    <x v="3"/>
    <x v="2"/>
    <x v="6"/>
    <x v="249"/>
    <x v="14"/>
    <x v="249"/>
    <x v="3"/>
    <x v="248"/>
    <x v="0"/>
    <x v="1"/>
  </r>
  <r>
    <x v="184"/>
    <x v="251"/>
    <x v="0"/>
    <x v="2"/>
    <x v="1"/>
    <x v="16"/>
    <x v="250"/>
    <x v="13"/>
    <x v="250"/>
    <x v="26"/>
    <x v="249"/>
    <x v="0"/>
    <x v="1"/>
  </r>
  <r>
    <x v="54"/>
    <x v="252"/>
    <x v="2"/>
    <x v="0"/>
    <x v="1"/>
    <x v="2"/>
    <x v="251"/>
    <x v="8"/>
    <x v="251"/>
    <x v="1"/>
    <x v="250"/>
    <x v="2"/>
    <x v="0"/>
  </r>
  <r>
    <x v="185"/>
    <x v="253"/>
    <x v="0"/>
    <x v="3"/>
    <x v="3"/>
    <x v="9"/>
    <x v="252"/>
    <x v="3"/>
    <x v="252"/>
    <x v="20"/>
    <x v="251"/>
    <x v="1"/>
    <x v="1"/>
  </r>
  <r>
    <x v="74"/>
    <x v="254"/>
    <x v="1"/>
    <x v="2"/>
    <x v="0"/>
    <x v="7"/>
    <x v="107"/>
    <x v="9"/>
    <x v="253"/>
    <x v="9"/>
    <x v="252"/>
    <x v="3"/>
    <x v="2"/>
  </r>
  <r>
    <x v="117"/>
    <x v="255"/>
    <x v="2"/>
    <x v="2"/>
    <x v="0"/>
    <x v="18"/>
    <x v="253"/>
    <x v="8"/>
    <x v="254"/>
    <x v="28"/>
    <x v="253"/>
    <x v="0"/>
    <x v="0"/>
  </r>
  <r>
    <x v="186"/>
    <x v="256"/>
    <x v="3"/>
    <x v="4"/>
    <x v="3"/>
    <x v="15"/>
    <x v="254"/>
    <x v="0"/>
    <x v="255"/>
    <x v="17"/>
    <x v="254"/>
    <x v="0"/>
    <x v="0"/>
  </r>
  <r>
    <x v="174"/>
    <x v="257"/>
    <x v="2"/>
    <x v="0"/>
    <x v="3"/>
    <x v="12"/>
    <x v="255"/>
    <x v="1"/>
    <x v="256"/>
    <x v="9"/>
    <x v="255"/>
    <x v="0"/>
    <x v="0"/>
  </r>
  <r>
    <x v="187"/>
    <x v="258"/>
    <x v="3"/>
    <x v="0"/>
    <x v="2"/>
    <x v="11"/>
    <x v="256"/>
    <x v="13"/>
    <x v="257"/>
    <x v="6"/>
    <x v="256"/>
    <x v="0"/>
    <x v="0"/>
  </r>
  <r>
    <x v="188"/>
    <x v="259"/>
    <x v="2"/>
    <x v="0"/>
    <x v="3"/>
    <x v="12"/>
    <x v="209"/>
    <x v="13"/>
    <x v="258"/>
    <x v="8"/>
    <x v="257"/>
    <x v="2"/>
    <x v="1"/>
  </r>
  <r>
    <x v="189"/>
    <x v="260"/>
    <x v="1"/>
    <x v="4"/>
    <x v="3"/>
    <x v="12"/>
    <x v="257"/>
    <x v="12"/>
    <x v="259"/>
    <x v="22"/>
    <x v="258"/>
    <x v="0"/>
    <x v="2"/>
  </r>
  <r>
    <x v="30"/>
    <x v="261"/>
    <x v="3"/>
    <x v="1"/>
    <x v="0"/>
    <x v="13"/>
    <x v="258"/>
    <x v="8"/>
    <x v="260"/>
    <x v="16"/>
    <x v="259"/>
    <x v="1"/>
    <x v="1"/>
  </r>
  <r>
    <x v="190"/>
    <x v="262"/>
    <x v="1"/>
    <x v="3"/>
    <x v="2"/>
    <x v="11"/>
    <x v="259"/>
    <x v="13"/>
    <x v="261"/>
    <x v="27"/>
    <x v="260"/>
    <x v="0"/>
    <x v="1"/>
  </r>
  <r>
    <x v="191"/>
    <x v="263"/>
    <x v="1"/>
    <x v="2"/>
    <x v="0"/>
    <x v="7"/>
    <x v="260"/>
    <x v="1"/>
    <x v="262"/>
    <x v="28"/>
    <x v="261"/>
    <x v="0"/>
    <x v="1"/>
  </r>
  <r>
    <x v="166"/>
    <x v="264"/>
    <x v="1"/>
    <x v="1"/>
    <x v="2"/>
    <x v="6"/>
    <x v="261"/>
    <x v="12"/>
    <x v="263"/>
    <x v="11"/>
    <x v="262"/>
    <x v="0"/>
    <x v="0"/>
  </r>
  <r>
    <x v="19"/>
    <x v="265"/>
    <x v="2"/>
    <x v="0"/>
    <x v="1"/>
    <x v="3"/>
    <x v="262"/>
    <x v="10"/>
    <x v="264"/>
    <x v="16"/>
    <x v="263"/>
    <x v="0"/>
    <x v="2"/>
  </r>
  <r>
    <x v="192"/>
    <x v="266"/>
    <x v="3"/>
    <x v="3"/>
    <x v="3"/>
    <x v="14"/>
    <x v="263"/>
    <x v="12"/>
    <x v="265"/>
    <x v="9"/>
    <x v="264"/>
    <x v="2"/>
    <x v="1"/>
  </r>
  <r>
    <x v="193"/>
    <x v="267"/>
    <x v="3"/>
    <x v="1"/>
    <x v="1"/>
    <x v="16"/>
    <x v="264"/>
    <x v="2"/>
    <x v="266"/>
    <x v="7"/>
    <x v="265"/>
    <x v="3"/>
    <x v="0"/>
  </r>
  <r>
    <x v="145"/>
    <x v="268"/>
    <x v="3"/>
    <x v="0"/>
    <x v="0"/>
    <x v="13"/>
    <x v="265"/>
    <x v="14"/>
    <x v="267"/>
    <x v="13"/>
    <x v="266"/>
    <x v="2"/>
    <x v="1"/>
  </r>
  <r>
    <x v="194"/>
    <x v="269"/>
    <x v="0"/>
    <x v="2"/>
    <x v="0"/>
    <x v="19"/>
    <x v="266"/>
    <x v="2"/>
    <x v="268"/>
    <x v="13"/>
    <x v="267"/>
    <x v="2"/>
    <x v="2"/>
  </r>
  <r>
    <x v="195"/>
    <x v="270"/>
    <x v="2"/>
    <x v="4"/>
    <x v="3"/>
    <x v="10"/>
    <x v="267"/>
    <x v="8"/>
    <x v="269"/>
    <x v="27"/>
    <x v="268"/>
    <x v="3"/>
    <x v="2"/>
  </r>
  <r>
    <x v="196"/>
    <x v="271"/>
    <x v="1"/>
    <x v="4"/>
    <x v="1"/>
    <x v="16"/>
    <x v="268"/>
    <x v="13"/>
    <x v="270"/>
    <x v="28"/>
    <x v="269"/>
    <x v="0"/>
    <x v="1"/>
  </r>
  <r>
    <x v="197"/>
    <x v="272"/>
    <x v="1"/>
    <x v="3"/>
    <x v="1"/>
    <x v="3"/>
    <x v="269"/>
    <x v="10"/>
    <x v="271"/>
    <x v="21"/>
    <x v="270"/>
    <x v="1"/>
    <x v="0"/>
  </r>
  <r>
    <x v="15"/>
    <x v="273"/>
    <x v="2"/>
    <x v="3"/>
    <x v="3"/>
    <x v="14"/>
    <x v="270"/>
    <x v="11"/>
    <x v="272"/>
    <x v="23"/>
    <x v="271"/>
    <x v="3"/>
    <x v="1"/>
  </r>
  <r>
    <x v="68"/>
    <x v="274"/>
    <x v="2"/>
    <x v="4"/>
    <x v="2"/>
    <x v="4"/>
    <x v="271"/>
    <x v="5"/>
    <x v="273"/>
    <x v="16"/>
    <x v="272"/>
    <x v="1"/>
    <x v="1"/>
  </r>
  <r>
    <x v="15"/>
    <x v="275"/>
    <x v="0"/>
    <x v="4"/>
    <x v="0"/>
    <x v="18"/>
    <x v="272"/>
    <x v="1"/>
    <x v="274"/>
    <x v="19"/>
    <x v="273"/>
    <x v="0"/>
    <x v="1"/>
  </r>
  <r>
    <x v="198"/>
    <x v="276"/>
    <x v="3"/>
    <x v="3"/>
    <x v="0"/>
    <x v="7"/>
    <x v="273"/>
    <x v="14"/>
    <x v="275"/>
    <x v="15"/>
    <x v="274"/>
    <x v="3"/>
    <x v="1"/>
  </r>
  <r>
    <x v="199"/>
    <x v="277"/>
    <x v="0"/>
    <x v="1"/>
    <x v="3"/>
    <x v="14"/>
    <x v="274"/>
    <x v="7"/>
    <x v="276"/>
    <x v="11"/>
    <x v="275"/>
    <x v="1"/>
    <x v="0"/>
  </r>
  <r>
    <x v="11"/>
    <x v="278"/>
    <x v="0"/>
    <x v="1"/>
    <x v="1"/>
    <x v="1"/>
    <x v="275"/>
    <x v="11"/>
    <x v="277"/>
    <x v="15"/>
    <x v="276"/>
    <x v="1"/>
    <x v="2"/>
  </r>
  <r>
    <x v="139"/>
    <x v="279"/>
    <x v="3"/>
    <x v="4"/>
    <x v="3"/>
    <x v="9"/>
    <x v="276"/>
    <x v="13"/>
    <x v="278"/>
    <x v="3"/>
    <x v="277"/>
    <x v="0"/>
    <x v="0"/>
  </r>
  <r>
    <x v="95"/>
    <x v="280"/>
    <x v="2"/>
    <x v="4"/>
    <x v="2"/>
    <x v="8"/>
    <x v="277"/>
    <x v="3"/>
    <x v="279"/>
    <x v="19"/>
    <x v="278"/>
    <x v="3"/>
    <x v="1"/>
  </r>
  <r>
    <x v="200"/>
    <x v="281"/>
    <x v="0"/>
    <x v="1"/>
    <x v="0"/>
    <x v="19"/>
    <x v="278"/>
    <x v="5"/>
    <x v="280"/>
    <x v="29"/>
    <x v="279"/>
    <x v="0"/>
    <x v="1"/>
  </r>
  <r>
    <x v="168"/>
    <x v="282"/>
    <x v="2"/>
    <x v="4"/>
    <x v="1"/>
    <x v="16"/>
    <x v="279"/>
    <x v="12"/>
    <x v="281"/>
    <x v="3"/>
    <x v="280"/>
    <x v="0"/>
    <x v="2"/>
  </r>
  <r>
    <x v="56"/>
    <x v="283"/>
    <x v="0"/>
    <x v="3"/>
    <x v="0"/>
    <x v="7"/>
    <x v="280"/>
    <x v="8"/>
    <x v="282"/>
    <x v="29"/>
    <x v="281"/>
    <x v="2"/>
    <x v="1"/>
  </r>
  <r>
    <x v="168"/>
    <x v="284"/>
    <x v="0"/>
    <x v="0"/>
    <x v="0"/>
    <x v="13"/>
    <x v="281"/>
    <x v="8"/>
    <x v="283"/>
    <x v="11"/>
    <x v="282"/>
    <x v="0"/>
    <x v="2"/>
  </r>
  <r>
    <x v="201"/>
    <x v="285"/>
    <x v="2"/>
    <x v="2"/>
    <x v="0"/>
    <x v="19"/>
    <x v="282"/>
    <x v="10"/>
    <x v="284"/>
    <x v="0"/>
    <x v="283"/>
    <x v="2"/>
    <x v="2"/>
  </r>
  <r>
    <x v="58"/>
    <x v="286"/>
    <x v="1"/>
    <x v="4"/>
    <x v="3"/>
    <x v="9"/>
    <x v="283"/>
    <x v="6"/>
    <x v="285"/>
    <x v="2"/>
    <x v="284"/>
    <x v="1"/>
    <x v="0"/>
  </r>
  <r>
    <x v="202"/>
    <x v="287"/>
    <x v="2"/>
    <x v="3"/>
    <x v="1"/>
    <x v="16"/>
    <x v="284"/>
    <x v="9"/>
    <x v="286"/>
    <x v="1"/>
    <x v="285"/>
    <x v="2"/>
    <x v="2"/>
  </r>
  <r>
    <x v="203"/>
    <x v="288"/>
    <x v="0"/>
    <x v="1"/>
    <x v="0"/>
    <x v="13"/>
    <x v="285"/>
    <x v="14"/>
    <x v="287"/>
    <x v="29"/>
    <x v="286"/>
    <x v="2"/>
    <x v="1"/>
  </r>
  <r>
    <x v="24"/>
    <x v="289"/>
    <x v="0"/>
    <x v="4"/>
    <x v="3"/>
    <x v="14"/>
    <x v="286"/>
    <x v="6"/>
    <x v="288"/>
    <x v="8"/>
    <x v="287"/>
    <x v="2"/>
    <x v="2"/>
  </r>
  <r>
    <x v="204"/>
    <x v="290"/>
    <x v="2"/>
    <x v="4"/>
    <x v="1"/>
    <x v="5"/>
    <x v="287"/>
    <x v="8"/>
    <x v="289"/>
    <x v="22"/>
    <x v="158"/>
    <x v="3"/>
    <x v="2"/>
  </r>
  <r>
    <x v="27"/>
    <x v="291"/>
    <x v="2"/>
    <x v="2"/>
    <x v="0"/>
    <x v="18"/>
    <x v="288"/>
    <x v="2"/>
    <x v="290"/>
    <x v="26"/>
    <x v="288"/>
    <x v="1"/>
    <x v="1"/>
  </r>
  <r>
    <x v="13"/>
    <x v="292"/>
    <x v="0"/>
    <x v="1"/>
    <x v="2"/>
    <x v="8"/>
    <x v="289"/>
    <x v="0"/>
    <x v="291"/>
    <x v="26"/>
    <x v="289"/>
    <x v="3"/>
    <x v="0"/>
  </r>
  <r>
    <x v="87"/>
    <x v="293"/>
    <x v="3"/>
    <x v="2"/>
    <x v="2"/>
    <x v="6"/>
    <x v="290"/>
    <x v="6"/>
    <x v="292"/>
    <x v="14"/>
    <x v="290"/>
    <x v="0"/>
    <x v="0"/>
  </r>
  <r>
    <x v="205"/>
    <x v="294"/>
    <x v="3"/>
    <x v="0"/>
    <x v="2"/>
    <x v="17"/>
    <x v="291"/>
    <x v="14"/>
    <x v="293"/>
    <x v="21"/>
    <x v="291"/>
    <x v="1"/>
    <x v="2"/>
  </r>
  <r>
    <x v="168"/>
    <x v="295"/>
    <x v="3"/>
    <x v="3"/>
    <x v="0"/>
    <x v="7"/>
    <x v="292"/>
    <x v="8"/>
    <x v="294"/>
    <x v="25"/>
    <x v="292"/>
    <x v="3"/>
    <x v="1"/>
  </r>
  <r>
    <x v="21"/>
    <x v="296"/>
    <x v="2"/>
    <x v="1"/>
    <x v="3"/>
    <x v="9"/>
    <x v="293"/>
    <x v="1"/>
    <x v="295"/>
    <x v="11"/>
    <x v="293"/>
    <x v="1"/>
    <x v="2"/>
  </r>
  <r>
    <x v="90"/>
    <x v="297"/>
    <x v="0"/>
    <x v="0"/>
    <x v="2"/>
    <x v="8"/>
    <x v="294"/>
    <x v="7"/>
    <x v="296"/>
    <x v="10"/>
    <x v="294"/>
    <x v="1"/>
    <x v="2"/>
  </r>
  <r>
    <x v="14"/>
    <x v="298"/>
    <x v="1"/>
    <x v="1"/>
    <x v="0"/>
    <x v="0"/>
    <x v="295"/>
    <x v="9"/>
    <x v="297"/>
    <x v="2"/>
    <x v="295"/>
    <x v="3"/>
    <x v="0"/>
  </r>
  <r>
    <x v="206"/>
    <x v="299"/>
    <x v="2"/>
    <x v="3"/>
    <x v="0"/>
    <x v="13"/>
    <x v="296"/>
    <x v="1"/>
    <x v="298"/>
    <x v="13"/>
    <x v="296"/>
    <x v="2"/>
    <x v="2"/>
  </r>
  <r>
    <x v="207"/>
    <x v="300"/>
    <x v="3"/>
    <x v="3"/>
    <x v="2"/>
    <x v="17"/>
    <x v="297"/>
    <x v="2"/>
    <x v="299"/>
    <x v="0"/>
    <x v="297"/>
    <x v="0"/>
    <x v="2"/>
  </r>
  <r>
    <x v="59"/>
    <x v="301"/>
    <x v="3"/>
    <x v="3"/>
    <x v="2"/>
    <x v="4"/>
    <x v="298"/>
    <x v="14"/>
    <x v="300"/>
    <x v="27"/>
    <x v="298"/>
    <x v="0"/>
    <x v="0"/>
  </r>
  <r>
    <x v="96"/>
    <x v="302"/>
    <x v="3"/>
    <x v="4"/>
    <x v="2"/>
    <x v="4"/>
    <x v="299"/>
    <x v="10"/>
    <x v="301"/>
    <x v="1"/>
    <x v="299"/>
    <x v="3"/>
    <x v="1"/>
  </r>
  <r>
    <x v="51"/>
    <x v="303"/>
    <x v="3"/>
    <x v="4"/>
    <x v="2"/>
    <x v="6"/>
    <x v="300"/>
    <x v="5"/>
    <x v="302"/>
    <x v="2"/>
    <x v="300"/>
    <x v="0"/>
    <x v="1"/>
  </r>
  <r>
    <x v="83"/>
    <x v="304"/>
    <x v="2"/>
    <x v="1"/>
    <x v="3"/>
    <x v="12"/>
    <x v="301"/>
    <x v="4"/>
    <x v="303"/>
    <x v="13"/>
    <x v="301"/>
    <x v="1"/>
    <x v="2"/>
  </r>
  <r>
    <x v="208"/>
    <x v="305"/>
    <x v="1"/>
    <x v="0"/>
    <x v="2"/>
    <x v="8"/>
    <x v="302"/>
    <x v="6"/>
    <x v="304"/>
    <x v="18"/>
    <x v="302"/>
    <x v="0"/>
    <x v="2"/>
  </r>
  <r>
    <x v="192"/>
    <x v="306"/>
    <x v="1"/>
    <x v="3"/>
    <x v="2"/>
    <x v="11"/>
    <x v="303"/>
    <x v="1"/>
    <x v="305"/>
    <x v="11"/>
    <x v="303"/>
    <x v="2"/>
    <x v="2"/>
  </r>
  <r>
    <x v="209"/>
    <x v="307"/>
    <x v="0"/>
    <x v="1"/>
    <x v="1"/>
    <x v="3"/>
    <x v="304"/>
    <x v="12"/>
    <x v="306"/>
    <x v="25"/>
    <x v="304"/>
    <x v="1"/>
    <x v="2"/>
  </r>
  <r>
    <x v="210"/>
    <x v="308"/>
    <x v="3"/>
    <x v="4"/>
    <x v="1"/>
    <x v="2"/>
    <x v="305"/>
    <x v="4"/>
    <x v="307"/>
    <x v="9"/>
    <x v="305"/>
    <x v="1"/>
    <x v="2"/>
  </r>
  <r>
    <x v="141"/>
    <x v="309"/>
    <x v="3"/>
    <x v="1"/>
    <x v="1"/>
    <x v="3"/>
    <x v="306"/>
    <x v="10"/>
    <x v="308"/>
    <x v="12"/>
    <x v="306"/>
    <x v="1"/>
    <x v="0"/>
  </r>
  <r>
    <x v="132"/>
    <x v="310"/>
    <x v="1"/>
    <x v="2"/>
    <x v="3"/>
    <x v="10"/>
    <x v="307"/>
    <x v="0"/>
    <x v="309"/>
    <x v="8"/>
    <x v="307"/>
    <x v="0"/>
    <x v="2"/>
  </r>
  <r>
    <x v="211"/>
    <x v="311"/>
    <x v="1"/>
    <x v="4"/>
    <x v="1"/>
    <x v="3"/>
    <x v="308"/>
    <x v="4"/>
    <x v="310"/>
    <x v="7"/>
    <x v="308"/>
    <x v="3"/>
    <x v="2"/>
  </r>
  <r>
    <x v="135"/>
    <x v="312"/>
    <x v="3"/>
    <x v="0"/>
    <x v="2"/>
    <x v="6"/>
    <x v="309"/>
    <x v="5"/>
    <x v="311"/>
    <x v="10"/>
    <x v="309"/>
    <x v="0"/>
    <x v="1"/>
  </r>
  <r>
    <x v="169"/>
    <x v="313"/>
    <x v="1"/>
    <x v="0"/>
    <x v="0"/>
    <x v="0"/>
    <x v="310"/>
    <x v="14"/>
    <x v="312"/>
    <x v="20"/>
    <x v="310"/>
    <x v="0"/>
    <x v="0"/>
  </r>
  <r>
    <x v="212"/>
    <x v="314"/>
    <x v="0"/>
    <x v="4"/>
    <x v="3"/>
    <x v="15"/>
    <x v="311"/>
    <x v="4"/>
    <x v="313"/>
    <x v="12"/>
    <x v="311"/>
    <x v="1"/>
    <x v="2"/>
  </r>
  <r>
    <x v="213"/>
    <x v="315"/>
    <x v="2"/>
    <x v="4"/>
    <x v="1"/>
    <x v="16"/>
    <x v="312"/>
    <x v="13"/>
    <x v="314"/>
    <x v="19"/>
    <x v="312"/>
    <x v="1"/>
    <x v="2"/>
  </r>
  <r>
    <x v="119"/>
    <x v="316"/>
    <x v="1"/>
    <x v="1"/>
    <x v="2"/>
    <x v="11"/>
    <x v="313"/>
    <x v="14"/>
    <x v="315"/>
    <x v="4"/>
    <x v="313"/>
    <x v="3"/>
    <x v="1"/>
  </r>
  <r>
    <x v="214"/>
    <x v="317"/>
    <x v="3"/>
    <x v="1"/>
    <x v="1"/>
    <x v="3"/>
    <x v="314"/>
    <x v="11"/>
    <x v="316"/>
    <x v="8"/>
    <x v="314"/>
    <x v="1"/>
    <x v="2"/>
  </r>
  <r>
    <x v="215"/>
    <x v="318"/>
    <x v="3"/>
    <x v="2"/>
    <x v="2"/>
    <x v="17"/>
    <x v="315"/>
    <x v="12"/>
    <x v="317"/>
    <x v="0"/>
    <x v="315"/>
    <x v="3"/>
    <x v="2"/>
  </r>
  <r>
    <x v="192"/>
    <x v="319"/>
    <x v="0"/>
    <x v="3"/>
    <x v="1"/>
    <x v="1"/>
    <x v="316"/>
    <x v="5"/>
    <x v="318"/>
    <x v="3"/>
    <x v="316"/>
    <x v="0"/>
    <x v="0"/>
  </r>
  <r>
    <x v="216"/>
    <x v="320"/>
    <x v="3"/>
    <x v="1"/>
    <x v="1"/>
    <x v="2"/>
    <x v="317"/>
    <x v="14"/>
    <x v="319"/>
    <x v="28"/>
    <x v="317"/>
    <x v="1"/>
    <x v="1"/>
  </r>
  <r>
    <x v="217"/>
    <x v="321"/>
    <x v="0"/>
    <x v="3"/>
    <x v="3"/>
    <x v="14"/>
    <x v="318"/>
    <x v="0"/>
    <x v="320"/>
    <x v="0"/>
    <x v="318"/>
    <x v="1"/>
    <x v="0"/>
  </r>
  <r>
    <x v="218"/>
    <x v="322"/>
    <x v="2"/>
    <x v="2"/>
    <x v="3"/>
    <x v="12"/>
    <x v="319"/>
    <x v="7"/>
    <x v="321"/>
    <x v="2"/>
    <x v="319"/>
    <x v="0"/>
    <x v="0"/>
  </r>
  <r>
    <x v="219"/>
    <x v="323"/>
    <x v="2"/>
    <x v="2"/>
    <x v="3"/>
    <x v="10"/>
    <x v="320"/>
    <x v="1"/>
    <x v="322"/>
    <x v="12"/>
    <x v="320"/>
    <x v="3"/>
    <x v="2"/>
  </r>
  <r>
    <x v="175"/>
    <x v="324"/>
    <x v="0"/>
    <x v="0"/>
    <x v="3"/>
    <x v="15"/>
    <x v="321"/>
    <x v="12"/>
    <x v="323"/>
    <x v="6"/>
    <x v="321"/>
    <x v="1"/>
    <x v="2"/>
  </r>
  <r>
    <x v="220"/>
    <x v="325"/>
    <x v="2"/>
    <x v="2"/>
    <x v="1"/>
    <x v="16"/>
    <x v="322"/>
    <x v="5"/>
    <x v="324"/>
    <x v="27"/>
    <x v="322"/>
    <x v="0"/>
    <x v="1"/>
  </r>
  <r>
    <x v="141"/>
    <x v="326"/>
    <x v="2"/>
    <x v="3"/>
    <x v="0"/>
    <x v="0"/>
    <x v="323"/>
    <x v="9"/>
    <x v="325"/>
    <x v="28"/>
    <x v="323"/>
    <x v="1"/>
    <x v="1"/>
  </r>
  <r>
    <x v="166"/>
    <x v="327"/>
    <x v="0"/>
    <x v="2"/>
    <x v="2"/>
    <x v="17"/>
    <x v="324"/>
    <x v="12"/>
    <x v="326"/>
    <x v="21"/>
    <x v="324"/>
    <x v="0"/>
    <x v="0"/>
  </r>
  <r>
    <x v="62"/>
    <x v="328"/>
    <x v="2"/>
    <x v="2"/>
    <x v="3"/>
    <x v="9"/>
    <x v="325"/>
    <x v="3"/>
    <x v="327"/>
    <x v="23"/>
    <x v="325"/>
    <x v="3"/>
    <x v="1"/>
  </r>
  <r>
    <x v="169"/>
    <x v="329"/>
    <x v="3"/>
    <x v="0"/>
    <x v="2"/>
    <x v="6"/>
    <x v="326"/>
    <x v="9"/>
    <x v="328"/>
    <x v="10"/>
    <x v="326"/>
    <x v="2"/>
    <x v="1"/>
  </r>
  <r>
    <x v="98"/>
    <x v="330"/>
    <x v="2"/>
    <x v="4"/>
    <x v="2"/>
    <x v="8"/>
    <x v="327"/>
    <x v="9"/>
    <x v="329"/>
    <x v="13"/>
    <x v="327"/>
    <x v="1"/>
    <x v="0"/>
  </r>
  <r>
    <x v="156"/>
    <x v="331"/>
    <x v="1"/>
    <x v="3"/>
    <x v="3"/>
    <x v="12"/>
    <x v="328"/>
    <x v="12"/>
    <x v="330"/>
    <x v="6"/>
    <x v="328"/>
    <x v="0"/>
    <x v="2"/>
  </r>
  <r>
    <x v="2"/>
    <x v="332"/>
    <x v="0"/>
    <x v="2"/>
    <x v="1"/>
    <x v="2"/>
    <x v="329"/>
    <x v="12"/>
    <x v="331"/>
    <x v="28"/>
    <x v="329"/>
    <x v="2"/>
    <x v="1"/>
  </r>
  <r>
    <x v="108"/>
    <x v="333"/>
    <x v="0"/>
    <x v="0"/>
    <x v="1"/>
    <x v="2"/>
    <x v="330"/>
    <x v="9"/>
    <x v="332"/>
    <x v="14"/>
    <x v="330"/>
    <x v="2"/>
    <x v="0"/>
  </r>
  <r>
    <x v="221"/>
    <x v="334"/>
    <x v="0"/>
    <x v="0"/>
    <x v="1"/>
    <x v="2"/>
    <x v="331"/>
    <x v="2"/>
    <x v="333"/>
    <x v="5"/>
    <x v="331"/>
    <x v="3"/>
    <x v="2"/>
  </r>
  <r>
    <x v="146"/>
    <x v="335"/>
    <x v="1"/>
    <x v="4"/>
    <x v="1"/>
    <x v="5"/>
    <x v="332"/>
    <x v="10"/>
    <x v="334"/>
    <x v="8"/>
    <x v="332"/>
    <x v="2"/>
    <x v="0"/>
  </r>
  <r>
    <x v="222"/>
    <x v="336"/>
    <x v="1"/>
    <x v="4"/>
    <x v="3"/>
    <x v="15"/>
    <x v="333"/>
    <x v="9"/>
    <x v="335"/>
    <x v="14"/>
    <x v="333"/>
    <x v="2"/>
    <x v="2"/>
  </r>
  <r>
    <x v="171"/>
    <x v="337"/>
    <x v="1"/>
    <x v="4"/>
    <x v="2"/>
    <x v="6"/>
    <x v="334"/>
    <x v="0"/>
    <x v="336"/>
    <x v="8"/>
    <x v="334"/>
    <x v="3"/>
    <x v="2"/>
  </r>
  <r>
    <x v="63"/>
    <x v="338"/>
    <x v="3"/>
    <x v="0"/>
    <x v="0"/>
    <x v="7"/>
    <x v="335"/>
    <x v="0"/>
    <x v="337"/>
    <x v="3"/>
    <x v="335"/>
    <x v="3"/>
    <x v="2"/>
  </r>
  <r>
    <x v="223"/>
    <x v="339"/>
    <x v="2"/>
    <x v="2"/>
    <x v="2"/>
    <x v="6"/>
    <x v="336"/>
    <x v="12"/>
    <x v="338"/>
    <x v="18"/>
    <x v="336"/>
    <x v="0"/>
    <x v="1"/>
  </r>
  <r>
    <x v="94"/>
    <x v="340"/>
    <x v="0"/>
    <x v="3"/>
    <x v="2"/>
    <x v="4"/>
    <x v="337"/>
    <x v="1"/>
    <x v="339"/>
    <x v="5"/>
    <x v="337"/>
    <x v="0"/>
    <x v="2"/>
  </r>
  <r>
    <x v="28"/>
    <x v="341"/>
    <x v="3"/>
    <x v="1"/>
    <x v="2"/>
    <x v="11"/>
    <x v="338"/>
    <x v="2"/>
    <x v="340"/>
    <x v="22"/>
    <x v="338"/>
    <x v="3"/>
    <x v="0"/>
  </r>
  <r>
    <x v="41"/>
    <x v="342"/>
    <x v="3"/>
    <x v="1"/>
    <x v="2"/>
    <x v="17"/>
    <x v="339"/>
    <x v="9"/>
    <x v="341"/>
    <x v="21"/>
    <x v="339"/>
    <x v="2"/>
    <x v="1"/>
  </r>
  <r>
    <x v="224"/>
    <x v="343"/>
    <x v="1"/>
    <x v="2"/>
    <x v="3"/>
    <x v="12"/>
    <x v="340"/>
    <x v="7"/>
    <x v="342"/>
    <x v="1"/>
    <x v="340"/>
    <x v="1"/>
    <x v="1"/>
  </r>
  <r>
    <x v="225"/>
    <x v="344"/>
    <x v="0"/>
    <x v="1"/>
    <x v="0"/>
    <x v="18"/>
    <x v="341"/>
    <x v="14"/>
    <x v="343"/>
    <x v="12"/>
    <x v="341"/>
    <x v="1"/>
    <x v="1"/>
  </r>
  <r>
    <x v="226"/>
    <x v="345"/>
    <x v="3"/>
    <x v="0"/>
    <x v="2"/>
    <x v="17"/>
    <x v="342"/>
    <x v="11"/>
    <x v="344"/>
    <x v="17"/>
    <x v="342"/>
    <x v="2"/>
    <x v="2"/>
  </r>
  <r>
    <x v="37"/>
    <x v="346"/>
    <x v="3"/>
    <x v="4"/>
    <x v="2"/>
    <x v="4"/>
    <x v="343"/>
    <x v="11"/>
    <x v="345"/>
    <x v="6"/>
    <x v="343"/>
    <x v="2"/>
    <x v="0"/>
  </r>
  <r>
    <x v="134"/>
    <x v="347"/>
    <x v="0"/>
    <x v="2"/>
    <x v="1"/>
    <x v="2"/>
    <x v="344"/>
    <x v="0"/>
    <x v="346"/>
    <x v="6"/>
    <x v="344"/>
    <x v="2"/>
    <x v="1"/>
  </r>
  <r>
    <x v="227"/>
    <x v="348"/>
    <x v="3"/>
    <x v="1"/>
    <x v="3"/>
    <x v="10"/>
    <x v="345"/>
    <x v="7"/>
    <x v="347"/>
    <x v="20"/>
    <x v="345"/>
    <x v="1"/>
    <x v="1"/>
  </r>
  <r>
    <x v="228"/>
    <x v="349"/>
    <x v="2"/>
    <x v="2"/>
    <x v="0"/>
    <x v="7"/>
    <x v="346"/>
    <x v="2"/>
    <x v="348"/>
    <x v="15"/>
    <x v="346"/>
    <x v="3"/>
    <x v="2"/>
  </r>
  <r>
    <x v="21"/>
    <x v="350"/>
    <x v="2"/>
    <x v="0"/>
    <x v="0"/>
    <x v="18"/>
    <x v="347"/>
    <x v="1"/>
    <x v="349"/>
    <x v="23"/>
    <x v="347"/>
    <x v="1"/>
    <x v="0"/>
  </r>
  <r>
    <x v="205"/>
    <x v="351"/>
    <x v="0"/>
    <x v="2"/>
    <x v="1"/>
    <x v="5"/>
    <x v="348"/>
    <x v="10"/>
    <x v="350"/>
    <x v="6"/>
    <x v="348"/>
    <x v="0"/>
    <x v="1"/>
  </r>
  <r>
    <x v="229"/>
    <x v="352"/>
    <x v="3"/>
    <x v="3"/>
    <x v="2"/>
    <x v="11"/>
    <x v="349"/>
    <x v="12"/>
    <x v="351"/>
    <x v="21"/>
    <x v="349"/>
    <x v="2"/>
    <x v="1"/>
  </r>
  <r>
    <x v="230"/>
    <x v="353"/>
    <x v="2"/>
    <x v="0"/>
    <x v="1"/>
    <x v="5"/>
    <x v="350"/>
    <x v="8"/>
    <x v="352"/>
    <x v="14"/>
    <x v="350"/>
    <x v="2"/>
    <x v="1"/>
  </r>
  <r>
    <x v="231"/>
    <x v="354"/>
    <x v="0"/>
    <x v="4"/>
    <x v="1"/>
    <x v="1"/>
    <x v="351"/>
    <x v="9"/>
    <x v="353"/>
    <x v="9"/>
    <x v="351"/>
    <x v="1"/>
    <x v="2"/>
  </r>
  <r>
    <x v="206"/>
    <x v="355"/>
    <x v="0"/>
    <x v="3"/>
    <x v="2"/>
    <x v="11"/>
    <x v="352"/>
    <x v="1"/>
    <x v="354"/>
    <x v="11"/>
    <x v="352"/>
    <x v="0"/>
    <x v="0"/>
  </r>
  <r>
    <x v="232"/>
    <x v="356"/>
    <x v="3"/>
    <x v="1"/>
    <x v="0"/>
    <x v="18"/>
    <x v="353"/>
    <x v="0"/>
    <x v="355"/>
    <x v="22"/>
    <x v="353"/>
    <x v="2"/>
    <x v="2"/>
  </r>
  <r>
    <x v="8"/>
    <x v="357"/>
    <x v="1"/>
    <x v="1"/>
    <x v="2"/>
    <x v="17"/>
    <x v="354"/>
    <x v="9"/>
    <x v="356"/>
    <x v="1"/>
    <x v="354"/>
    <x v="2"/>
    <x v="1"/>
  </r>
  <r>
    <x v="233"/>
    <x v="358"/>
    <x v="3"/>
    <x v="4"/>
    <x v="2"/>
    <x v="6"/>
    <x v="355"/>
    <x v="2"/>
    <x v="357"/>
    <x v="29"/>
    <x v="355"/>
    <x v="2"/>
    <x v="1"/>
  </r>
  <r>
    <x v="205"/>
    <x v="359"/>
    <x v="3"/>
    <x v="4"/>
    <x v="2"/>
    <x v="6"/>
    <x v="356"/>
    <x v="4"/>
    <x v="358"/>
    <x v="9"/>
    <x v="356"/>
    <x v="2"/>
    <x v="2"/>
  </r>
  <r>
    <x v="34"/>
    <x v="360"/>
    <x v="2"/>
    <x v="4"/>
    <x v="0"/>
    <x v="0"/>
    <x v="357"/>
    <x v="0"/>
    <x v="359"/>
    <x v="8"/>
    <x v="357"/>
    <x v="1"/>
    <x v="0"/>
  </r>
  <r>
    <x v="234"/>
    <x v="361"/>
    <x v="3"/>
    <x v="2"/>
    <x v="2"/>
    <x v="4"/>
    <x v="358"/>
    <x v="8"/>
    <x v="360"/>
    <x v="16"/>
    <x v="358"/>
    <x v="2"/>
    <x v="2"/>
  </r>
  <r>
    <x v="50"/>
    <x v="362"/>
    <x v="3"/>
    <x v="0"/>
    <x v="2"/>
    <x v="11"/>
    <x v="359"/>
    <x v="6"/>
    <x v="361"/>
    <x v="4"/>
    <x v="359"/>
    <x v="2"/>
    <x v="1"/>
  </r>
  <r>
    <x v="235"/>
    <x v="363"/>
    <x v="3"/>
    <x v="2"/>
    <x v="1"/>
    <x v="1"/>
    <x v="360"/>
    <x v="0"/>
    <x v="362"/>
    <x v="19"/>
    <x v="360"/>
    <x v="0"/>
    <x v="2"/>
  </r>
  <r>
    <x v="158"/>
    <x v="364"/>
    <x v="0"/>
    <x v="0"/>
    <x v="3"/>
    <x v="15"/>
    <x v="361"/>
    <x v="1"/>
    <x v="363"/>
    <x v="2"/>
    <x v="361"/>
    <x v="3"/>
    <x v="1"/>
  </r>
  <r>
    <x v="236"/>
    <x v="365"/>
    <x v="3"/>
    <x v="3"/>
    <x v="0"/>
    <x v="13"/>
    <x v="362"/>
    <x v="8"/>
    <x v="364"/>
    <x v="2"/>
    <x v="362"/>
    <x v="1"/>
    <x v="2"/>
  </r>
  <r>
    <x v="60"/>
    <x v="366"/>
    <x v="3"/>
    <x v="1"/>
    <x v="1"/>
    <x v="3"/>
    <x v="363"/>
    <x v="3"/>
    <x v="365"/>
    <x v="13"/>
    <x v="363"/>
    <x v="2"/>
    <x v="2"/>
  </r>
  <r>
    <x v="70"/>
    <x v="367"/>
    <x v="0"/>
    <x v="0"/>
    <x v="1"/>
    <x v="16"/>
    <x v="364"/>
    <x v="3"/>
    <x v="366"/>
    <x v="4"/>
    <x v="364"/>
    <x v="1"/>
    <x v="2"/>
  </r>
  <r>
    <x v="132"/>
    <x v="368"/>
    <x v="1"/>
    <x v="4"/>
    <x v="3"/>
    <x v="9"/>
    <x v="365"/>
    <x v="7"/>
    <x v="367"/>
    <x v="3"/>
    <x v="365"/>
    <x v="1"/>
    <x v="2"/>
  </r>
  <r>
    <x v="237"/>
    <x v="369"/>
    <x v="0"/>
    <x v="2"/>
    <x v="3"/>
    <x v="14"/>
    <x v="366"/>
    <x v="11"/>
    <x v="368"/>
    <x v="17"/>
    <x v="366"/>
    <x v="1"/>
    <x v="1"/>
  </r>
  <r>
    <x v="39"/>
    <x v="370"/>
    <x v="2"/>
    <x v="4"/>
    <x v="3"/>
    <x v="15"/>
    <x v="367"/>
    <x v="6"/>
    <x v="369"/>
    <x v="23"/>
    <x v="367"/>
    <x v="2"/>
    <x v="0"/>
  </r>
  <r>
    <x v="103"/>
    <x v="371"/>
    <x v="0"/>
    <x v="1"/>
    <x v="1"/>
    <x v="2"/>
    <x v="368"/>
    <x v="6"/>
    <x v="370"/>
    <x v="7"/>
    <x v="368"/>
    <x v="3"/>
    <x v="1"/>
  </r>
  <r>
    <x v="238"/>
    <x v="372"/>
    <x v="3"/>
    <x v="1"/>
    <x v="0"/>
    <x v="13"/>
    <x v="369"/>
    <x v="11"/>
    <x v="371"/>
    <x v="15"/>
    <x v="369"/>
    <x v="3"/>
    <x v="1"/>
  </r>
  <r>
    <x v="207"/>
    <x v="373"/>
    <x v="3"/>
    <x v="0"/>
    <x v="2"/>
    <x v="6"/>
    <x v="370"/>
    <x v="9"/>
    <x v="372"/>
    <x v="18"/>
    <x v="370"/>
    <x v="2"/>
    <x v="0"/>
  </r>
  <r>
    <x v="199"/>
    <x v="374"/>
    <x v="1"/>
    <x v="4"/>
    <x v="3"/>
    <x v="12"/>
    <x v="371"/>
    <x v="9"/>
    <x v="373"/>
    <x v="6"/>
    <x v="371"/>
    <x v="1"/>
    <x v="2"/>
  </r>
  <r>
    <x v="73"/>
    <x v="375"/>
    <x v="2"/>
    <x v="1"/>
    <x v="3"/>
    <x v="9"/>
    <x v="372"/>
    <x v="1"/>
    <x v="374"/>
    <x v="25"/>
    <x v="372"/>
    <x v="2"/>
    <x v="1"/>
  </r>
  <r>
    <x v="239"/>
    <x v="376"/>
    <x v="3"/>
    <x v="4"/>
    <x v="2"/>
    <x v="17"/>
    <x v="373"/>
    <x v="4"/>
    <x v="375"/>
    <x v="14"/>
    <x v="373"/>
    <x v="1"/>
    <x v="2"/>
  </r>
  <r>
    <x v="50"/>
    <x v="377"/>
    <x v="1"/>
    <x v="0"/>
    <x v="3"/>
    <x v="9"/>
    <x v="374"/>
    <x v="4"/>
    <x v="376"/>
    <x v="22"/>
    <x v="374"/>
    <x v="1"/>
    <x v="2"/>
  </r>
  <r>
    <x v="157"/>
    <x v="378"/>
    <x v="1"/>
    <x v="0"/>
    <x v="3"/>
    <x v="12"/>
    <x v="375"/>
    <x v="10"/>
    <x v="377"/>
    <x v="14"/>
    <x v="375"/>
    <x v="3"/>
    <x v="1"/>
  </r>
  <r>
    <x v="219"/>
    <x v="379"/>
    <x v="3"/>
    <x v="4"/>
    <x v="1"/>
    <x v="5"/>
    <x v="376"/>
    <x v="11"/>
    <x v="378"/>
    <x v="25"/>
    <x v="376"/>
    <x v="0"/>
    <x v="2"/>
  </r>
  <r>
    <x v="91"/>
    <x v="380"/>
    <x v="2"/>
    <x v="3"/>
    <x v="2"/>
    <x v="8"/>
    <x v="377"/>
    <x v="1"/>
    <x v="379"/>
    <x v="22"/>
    <x v="377"/>
    <x v="0"/>
    <x v="2"/>
  </r>
  <r>
    <x v="230"/>
    <x v="381"/>
    <x v="3"/>
    <x v="3"/>
    <x v="3"/>
    <x v="10"/>
    <x v="378"/>
    <x v="2"/>
    <x v="380"/>
    <x v="27"/>
    <x v="378"/>
    <x v="0"/>
    <x v="1"/>
  </r>
  <r>
    <x v="175"/>
    <x v="382"/>
    <x v="3"/>
    <x v="1"/>
    <x v="2"/>
    <x v="4"/>
    <x v="379"/>
    <x v="7"/>
    <x v="381"/>
    <x v="15"/>
    <x v="379"/>
    <x v="1"/>
    <x v="1"/>
  </r>
  <r>
    <x v="91"/>
    <x v="383"/>
    <x v="3"/>
    <x v="2"/>
    <x v="2"/>
    <x v="17"/>
    <x v="380"/>
    <x v="6"/>
    <x v="382"/>
    <x v="0"/>
    <x v="380"/>
    <x v="3"/>
    <x v="0"/>
  </r>
  <r>
    <x v="190"/>
    <x v="384"/>
    <x v="0"/>
    <x v="2"/>
    <x v="2"/>
    <x v="6"/>
    <x v="381"/>
    <x v="14"/>
    <x v="383"/>
    <x v="8"/>
    <x v="381"/>
    <x v="3"/>
    <x v="0"/>
  </r>
  <r>
    <x v="240"/>
    <x v="385"/>
    <x v="3"/>
    <x v="1"/>
    <x v="1"/>
    <x v="2"/>
    <x v="382"/>
    <x v="1"/>
    <x v="384"/>
    <x v="6"/>
    <x v="382"/>
    <x v="3"/>
    <x v="2"/>
  </r>
  <r>
    <x v="3"/>
    <x v="386"/>
    <x v="2"/>
    <x v="4"/>
    <x v="2"/>
    <x v="11"/>
    <x v="383"/>
    <x v="7"/>
    <x v="385"/>
    <x v="1"/>
    <x v="383"/>
    <x v="3"/>
    <x v="1"/>
  </r>
  <r>
    <x v="135"/>
    <x v="387"/>
    <x v="0"/>
    <x v="2"/>
    <x v="0"/>
    <x v="13"/>
    <x v="384"/>
    <x v="0"/>
    <x v="386"/>
    <x v="28"/>
    <x v="384"/>
    <x v="2"/>
    <x v="1"/>
  </r>
  <r>
    <x v="173"/>
    <x v="388"/>
    <x v="3"/>
    <x v="2"/>
    <x v="2"/>
    <x v="4"/>
    <x v="385"/>
    <x v="6"/>
    <x v="387"/>
    <x v="19"/>
    <x v="385"/>
    <x v="1"/>
    <x v="0"/>
  </r>
  <r>
    <x v="241"/>
    <x v="389"/>
    <x v="1"/>
    <x v="4"/>
    <x v="3"/>
    <x v="12"/>
    <x v="386"/>
    <x v="14"/>
    <x v="388"/>
    <x v="25"/>
    <x v="386"/>
    <x v="1"/>
    <x v="1"/>
  </r>
  <r>
    <x v="212"/>
    <x v="390"/>
    <x v="1"/>
    <x v="1"/>
    <x v="1"/>
    <x v="16"/>
    <x v="387"/>
    <x v="0"/>
    <x v="389"/>
    <x v="0"/>
    <x v="387"/>
    <x v="0"/>
    <x v="2"/>
  </r>
  <r>
    <x v="242"/>
    <x v="391"/>
    <x v="2"/>
    <x v="4"/>
    <x v="1"/>
    <x v="1"/>
    <x v="388"/>
    <x v="13"/>
    <x v="390"/>
    <x v="27"/>
    <x v="388"/>
    <x v="1"/>
    <x v="0"/>
  </r>
  <r>
    <x v="25"/>
    <x v="392"/>
    <x v="0"/>
    <x v="3"/>
    <x v="2"/>
    <x v="8"/>
    <x v="389"/>
    <x v="10"/>
    <x v="391"/>
    <x v="12"/>
    <x v="389"/>
    <x v="3"/>
    <x v="1"/>
  </r>
  <r>
    <x v="88"/>
    <x v="393"/>
    <x v="3"/>
    <x v="3"/>
    <x v="0"/>
    <x v="7"/>
    <x v="390"/>
    <x v="11"/>
    <x v="392"/>
    <x v="8"/>
    <x v="390"/>
    <x v="1"/>
    <x v="2"/>
  </r>
  <r>
    <x v="84"/>
    <x v="394"/>
    <x v="2"/>
    <x v="4"/>
    <x v="1"/>
    <x v="16"/>
    <x v="391"/>
    <x v="14"/>
    <x v="393"/>
    <x v="8"/>
    <x v="391"/>
    <x v="1"/>
    <x v="2"/>
  </r>
  <r>
    <x v="56"/>
    <x v="395"/>
    <x v="1"/>
    <x v="4"/>
    <x v="3"/>
    <x v="14"/>
    <x v="392"/>
    <x v="1"/>
    <x v="394"/>
    <x v="13"/>
    <x v="392"/>
    <x v="1"/>
    <x v="2"/>
  </r>
  <r>
    <x v="120"/>
    <x v="396"/>
    <x v="2"/>
    <x v="1"/>
    <x v="0"/>
    <x v="18"/>
    <x v="393"/>
    <x v="12"/>
    <x v="395"/>
    <x v="30"/>
    <x v="393"/>
    <x v="2"/>
    <x v="2"/>
  </r>
  <r>
    <x v="243"/>
    <x v="397"/>
    <x v="3"/>
    <x v="1"/>
    <x v="0"/>
    <x v="19"/>
    <x v="394"/>
    <x v="3"/>
    <x v="396"/>
    <x v="18"/>
    <x v="394"/>
    <x v="1"/>
    <x v="0"/>
  </r>
  <r>
    <x v="193"/>
    <x v="398"/>
    <x v="2"/>
    <x v="3"/>
    <x v="0"/>
    <x v="18"/>
    <x v="395"/>
    <x v="2"/>
    <x v="397"/>
    <x v="17"/>
    <x v="395"/>
    <x v="2"/>
    <x v="2"/>
  </r>
  <r>
    <x v="244"/>
    <x v="399"/>
    <x v="2"/>
    <x v="1"/>
    <x v="3"/>
    <x v="12"/>
    <x v="396"/>
    <x v="7"/>
    <x v="398"/>
    <x v="7"/>
    <x v="396"/>
    <x v="2"/>
    <x v="0"/>
  </r>
  <r>
    <x v="245"/>
    <x v="400"/>
    <x v="1"/>
    <x v="1"/>
    <x v="3"/>
    <x v="10"/>
    <x v="397"/>
    <x v="9"/>
    <x v="399"/>
    <x v="11"/>
    <x v="397"/>
    <x v="3"/>
    <x v="1"/>
  </r>
  <r>
    <x v="3"/>
    <x v="401"/>
    <x v="1"/>
    <x v="0"/>
    <x v="3"/>
    <x v="10"/>
    <x v="398"/>
    <x v="5"/>
    <x v="400"/>
    <x v="21"/>
    <x v="398"/>
    <x v="2"/>
    <x v="2"/>
  </r>
  <r>
    <x v="54"/>
    <x v="402"/>
    <x v="3"/>
    <x v="0"/>
    <x v="1"/>
    <x v="2"/>
    <x v="399"/>
    <x v="10"/>
    <x v="401"/>
    <x v="15"/>
    <x v="399"/>
    <x v="0"/>
    <x v="1"/>
  </r>
  <r>
    <x v="231"/>
    <x v="403"/>
    <x v="1"/>
    <x v="3"/>
    <x v="1"/>
    <x v="3"/>
    <x v="400"/>
    <x v="10"/>
    <x v="402"/>
    <x v="18"/>
    <x v="400"/>
    <x v="0"/>
    <x v="0"/>
  </r>
  <r>
    <x v="230"/>
    <x v="404"/>
    <x v="3"/>
    <x v="1"/>
    <x v="1"/>
    <x v="5"/>
    <x v="401"/>
    <x v="12"/>
    <x v="403"/>
    <x v="1"/>
    <x v="401"/>
    <x v="1"/>
    <x v="2"/>
  </r>
  <r>
    <x v="246"/>
    <x v="405"/>
    <x v="2"/>
    <x v="4"/>
    <x v="0"/>
    <x v="7"/>
    <x v="402"/>
    <x v="11"/>
    <x v="404"/>
    <x v="27"/>
    <x v="402"/>
    <x v="2"/>
    <x v="1"/>
  </r>
  <r>
    <x v="247"/>
    <x v="406"/>
    <x v="0"/>
    <x v="2"/>
    <x v="0"/>
    <x v="0"/>
    <x v="403"/>
    <x v="12"/>
    <x v="405"/>
    <x v="9"/>
    <x v="403"/>
    <x v="1"/>
    <x v="1"/>
  </r>
  <r>
    <x v="105"/>
    <x v="407"/>
    <x v="2"/>
    <x v="1"/>
    <x v="3"/>
    <x v="12"/>
    <x v="404"/>
    <x v="5"/>
    <x v="406"/>
    <x v="22"/>
    <x v="404"/>
    <x v="2"/>
    <x v="0"/>
  </r>
  <r>
    <x v="216"/>
    <x v="408"/>
    <x v="3"/>
    <x v="0"/>
    <x v="3"/>
    <x v="9"/>
    <x v="405"/>
    <x v="0"/>
    <x v="407"/>
    <x v="29"/>
    <x v="405"/>
    <x v="1"/>
    <x v="1"/>
  </r>
  <r>
    <x v="185"/>
    <x v="409"/>
    <x v="3"/>
    <x v="2"/>
    <x v="2"/>
    <x v="8"/>
    <x v="406"/>
    <x v="13"/>
    <x v="408"/>
    <x v="23"/>
    <x v="406"/>
    <x v="0"/>
    <x v="2"/>
  </r>
  <r>
    <x v="165"/>
    <x v="410"/>
    <x v="3"/>
    <x v="4"/>
    <x v="1"/>
    <x v="1"/>
    <x v="407"/>
    <x v="14"/>
    <x v="409"/>
    <x v="26"/>
    <x v="407"/>
    <x v="0"/>
    <x v="1"/>
  </r>
  <r>
    <x v="58"/>
    <x v="411"/>
    <x v="2"/>
    <x v="3"/>
    <x v="3"/>
    <x v="12"/>
    <x v="408"/>
    <x v="12"/>
    <x v="410"/>
    <x v="5"/>
    <x v="408"/>
    <x v="0"/>
    <x v="0"/>
  </r>
  <r>
    <x v="248"/>
    <x v="412"/>
    <x v="3"/>
    <x v="0"/>
    <x v="3"/>
    <x v="12"/>
    <x v="409"/>
    <x v="9"/>
    <x v="411"/>
    <x v="13"/>
    <x v="409"/>
    <x v="0"/>
    <x v="0"/>
  </r>
  <r>
    <x v="166"/>
    <x v="413"/>
    <x v="3"/>
    <x v="4"/>
    <x v="3"/>
    <x v="10"/>
    <x v="410"/>
    <x v="6"/>
    <x v="412"/>
    <x v="17"/>
    <x v="410"/>
    <x v="0"/>
    <x v="2"/>
  </r>
  <r>
    <x v="4"/>
    <x v="414"/>
    <x v="2"/>
    <x v="1"/>
    <x v="3"/>
    <x v="14"/>
    <x v="411"/>
    <x v="6"/>
    <x v="413"/>
    <x v="29"/>
    <x v="411"/>
    <x v="1"/>
    <x v="0"/>
  </r>
  <r>
    <x v="188"/>
    <x v="415"/>
    <x v="1"/>
    <x v="4"/>
    <x v="1"/>
    <x v="1"/>
    <x v="412"/>
    <x v="3"/>
    <x v="414"/>
    <x v="7"/>
    <x v="412"/>
    <x v="0"/>
    <x v="2"/>
  </r>
  <r>
    <x v="117"/>
    <x v="416"/>
    <x v="0"/>
    <x v="1"/>
    <x v="2"/>
    <x v="6"/>
    <x v="413"/>
    <x v="9"/>
    <x v="415"/>
    <x v="18"/>
    <x v="413"/>
    <x v="3"/>
    <x v="1"/>
  </r>
  <r>
    <x v="249"/>
    <x v="417"/>
    <x v="2"/>
    <x v="4"/>
    <x v="0"/>
    <x v="19"/>
    <x v="414"/>
    <x v="1"/>
    <x v="416"/>
    <x v="24"/>
    <x v="414"/>
    <x v="0"/>
    <x v="2"/>
  </r>
  <r>
    <x v="250"/>
    <x v="418"/>
    <x v="2"/>
    <x v="4"/>
    <x v="0"/>
    <x v="0"/>
    <x v="415"/>
    <x v="13"/>
    <x v="417"/>
    <x v="1"/>
    <x v="415"/>
    <x v="3"/>
    <x v="0"/>
  </r>
  <r>
    <x v="160"/>
    <x v="419"/>
    <x v="2"/>
    <x v="2"/>
    <x v="0"/>
    <x v="0"/>
    <x v="416"/>
    <x v="8"/>
    <x v="418"/>
    <x v="17"/>
    <x v="416"/>
    <x v="2"/>
    <x v="1"/>
  </r>
  <r>
    <x v="180"/>
    <x v="420"/>
    <x v="0"/>
    <x v="1"/>
    <x v="1"/>
    <x v="5"/>
    <x v="417"/>
    <x v="8"/>
    <x v="419"/>
    <x v="11"/>
    <x v="417"/>
    <x v="2"/>
    <x v="0"/>
  </r>
  <r>
    <x v="189"/>
    <x v="421"/>
    <x v="2"/>
    <x v="2"/>
    <x v="0"/>
    <x v="19"/>
    <x v="418"/>
    <x v="8"/>
    <x v="420"/>
    <x v="19"/>
    <x v="418"/>
    <x v="2"/>
    <x v="2"/>
  </r>
  <r>
    <x v="251"/>
    <x v="422"/>
    <x v="2"/>
    <x v="3"/>
    <x v="2"/>
    <x v="6"/>
    <x v="419"/>
    <x v="7"/>
    <x v="421"/>
    <x v="2"/>
    <x v="419"/>
    <x v="0"/>
    <x v="1"/>
  </r>
  <r>
    <x v="252"/>
    <x v="423"/>
    <x v="1"/>
    <x v="4"/>
    <x v="1"/>
    <x v="2"/>
    <x v="420"/>
    <x v="8"/>
    <x v="422"/>
    <x v="17"/>
    <x v="420"/>
    <x v="3"/>
    <x v="2"/>
  </r>
  <r>
    <x v="142"/>
    <x v="424"/>
    <x v="0"/>
    <x v="4"/>
    <x v="2"/>
    <x v="4"/>
    <x v="421"/>
    <x v="6"/>
    <x v="423"/>
    <x v="27"/>
    <x v="421"/>
    <x v="1"/>
    <x v="0"/>
  </r>
  <r>
    <x v="132"/>
    <x v="425"/>
    <x v="3"/>
    <x v="1"/>
    <x v="1"/>
    <x v="3"/>
    <x v="422"/>
    <x v="14"/>
    <x v="424"/>
    <x v="18"/>
    <x v="422"/>
    <x v="2"/>
    <x v="1"/>
  </r>
  <r>
    <x v="253"/>
    <x v="426"/>
    <x v="2"/>
    <x v="2"/>
    <x v="0"/>
    <x v="18"/>
    <x v="423"/>
    <x v="4"/>
    <x v="425"/>
    <x v="29"/>
    <x v="423"/>
    <x v="1"/>
    <x v="2"/>
  </r>
  <r>
    <x v="178"/>
    <x v="427"/>
    <x v="3"/>
    <x v="0"/>
    <x v="1"/>
    <x v="5"/>
    <x v="424"/>
    <x v="9"/>
    <x v="426"/>
    <x v="21"/>
    <x v="424"/>
    <x v="0"/>
    <x v="2"/>
  </r>
  <r>
    <x v="254"/>
    <x v="428"/>
    <x v="0"/>
    <x v="0"/>
    <x v="1"/>
    <x v="3"/>
    <x v="425"/>
    <x v="9"/>
    <x v="427"/>
    <x v="14"/>
    <x v="425"/>
    <x v="2"/>
    <x v="1"/>
  </r>
  <r>
    <x v="255"/>
    <x v="429"/>
    <x v="3"/>
    <x v="0"/>
    <x v="1"/>
    <x v="16"/>
    <x v="426"/>
    <x v="11"/>
    <x v="428"/>
    <x v="7"/>
    <x v="426"/>
    <x v="0"/>
    <x v="2"/>
  </r>
  <r>
    <x v="256"/>
    <x v="430"/>
    <x v="2"/>
    <x v="2"/>
    <x v="1"/>
    <x v="1"/>
    <x v="427"/>
    <x v="4"/>
    <x v="429"/>
    <x v="28"/>
    <x v="427"/>
    <x v="0"/>
    <x v="1"/>
  </r>
  <r>
    <x v="164"/>
    <x v="431"/>
    <x v="1"/>
    <x v="0"/>
    <x v="3"/>
    <x v="10"/>
    <x v="428"/>
    <x v="5"/>
    <x v="430"/>
    <x v="17"/>
    <x v="428"/>
    <x v="0"/>
    <x v="0"/>
  </r>
  <r>
    <x v="257"/>
    <x v="432"/>
    <x v="2"/>
    <x v="0"/>
    <x v="0"/>
    <x v="13"/>
    <x v="429"/>
    <x v="5"/>
    <x v="431"/>
    <x v="18"/>
    <x v="429"/>
    <x v="0"/>
    <x v="0"/>
  </r>
  <r>
    <x v="57"/>
    <x v="433"/>
    <x v="0"/>
    <x v="4"/>
    <x v="0"/>
    <x v="18"/>
    <x v="430"/>
    <x v="1"/>
    <x v="432"/>
    <x v="4"/>
    <x v="430"/>
    <x v="2"/>
    <x v="2"/>
  </r>
  <r>
    <x v="143"/>
    <x v="434"/>
    <x v="0"/>
    <x v="0"/>
    <x v="1"/>
    <x v="16"/>
    <x v="431"/>
    <x v="4"/>
    <x v="433"/>
    <x v="27"/>
    <x v="431"/>
    <x v="0"/>
    <x v="2"/>
  </r>
  <r>
    <x v="129"/>
    <x v="435"/>
    <x v="0"/>
    <x v="1"/>
    <x v="3"/>
    <x v="14"/>
    <x v="432"/>
    <x v="8"/>
    <x v="434"/>
    <x v="28"/>
    <x v="432"/>
    <x v="0"/>
    <x v="1"/>
  </r>
  <r>
    <x v="258"/>
    <x v="436"/>
    <x v="3"/>
    <x v="2"/>
    <x v="1"/>
    <x v="1"/>
    <x v="433"/>
    <x v="6"/>
    <x v="435"/>
    <x v="23"/>
    <x v="433"/>
    <x v="3"/>
    <x v="0"/>
  </r>
  <r>
    <x v="259"/>
    <x v="437"/>
    <x v="2"/>
    <x v="4"/>
    <x v="2"/>
    <x v="11"/>
    <x v="434"/>
    <x v="11"/>
    <x v="436"/>
    <x v="14"/>
    <x v="434"/>
    <x v="1"/>
    <x v="1"/>
  </r>
  <r>
    <x v="36"/>
    <x v="438"/>
    <x v="3"/>
    <x v="0"/>
    <x v="2"/>
    <x v="11"/>
    <x v="435"/>
    <x v="9"/>
    <x v="437"/>
    <x v="18"/>
    <x v="435"/>
    <x v="2"/>
    <x v="2"/>
  </r>
  <r>
    <x v="260"/>
    <x v="439"/>
    <x v="0"/>
    <x v="2"/>
    <x v="1"/>
    <x v="2"/>
    <x v="436"/>
    <x v="9"/>
    <x v="438"/>
    <x v="11"/>
    <x v="436"/>
    <x v="0"/>
    <x v="2"/>
  </r>
  <r>
    <x v="134"/>
    <x v="440"/>
    <x v="2"/>
    <x v="0"/>
    <x v="3"/>
    <x v="15"/>
    <x v="437"/>
    <x v="4"/>
    <x v="439"/>
    <x v="11"/>
    <x v="437"/>
    <x v="2"/>
    <x v="2"/>
  </r>
  <r>
    <x v="261"/>
    <x v="441"/>
    <x v="0"/>
    <x v="0"/>
    <x v="3"/>
    <x v="12"/>
    <x v="438"/>
    <x v="3"/>
    <x v="440"/>
    <x v="15"/>
    <x v="438"/>
    <x v="0"/>
    <x v="2"/>
  </r>
  <r>
    <x v="24"/>
    <x v="442"/>
    <x v="0"/>
    <x v="4"/>
    <x v="3"/>
    <x v="10"/>
    <x v="439"/>
    <x v="5"/>
    <x v="441"/>
    <x v="5"/>
    <x v="439"/>
    <x v="3"/>
    <x v="0"/>
  </r>
  <r>
    <x v="262"/>
    <x v="443"/>
    <x v="3"/>
    <x v="4"/>
    <x v="3"/>
    <x v="15"/>
    <x v="440"/>
    <x v="9"/>
    <x v="442"/>
    <x v="27"/>
    <x v="440"/>
    <x v="2"/>
    <x v="0"/>
  </r>
  <r>
    <x v="105"/>
    <x v="444"/>
    <x v="0"/>
    <x v="1"/>
    <x v="0"/>
    <x v="13"/>
    <x v="441"/>
    <x v="13"/>
    <x v="443"/>
    <x v="0"/>
    <x v="441"/>
    <x v="1"/>
    <x v="1"/>
  </r>
  <r>
    <x v="174"/>
    <x v="445"/>
    <x v="1"/>
    <x v="2"/>
    <x v="0"/>
    <x v="0"/>
    <x v="442"/>
    <x v="11"/>
    <x v="444"/>
    <x v="5"/>
    <x v="442"/>
    <x v="1"/>
    <x v="0"/>
  </r>
  <r>
    <x v="63"/>
    <x v="446"/>
    <x v="0"/>
    <x v="0"/>
    <x v="1"/>
    <x v="1"/>
    <x v="443"/>
    <x v="6"/>
    <x v="445"/>
    <x v="4"/>
    <x v="443"/>
    <x v="0"/>
    <x v="0"/>
  </r>
  <r>
    <x v="47"/>
    <x v="447"/>
    <x v="2"/>
    <x v="0"/>
    <x v="3"/>
    <x v="15"/>
    <x v="444"/>
    <x v="11"/>
    <x v="446"/>
    <x v="12"/>
    <x v="444"/>
    <x v="3"/>
    <x v="2"/>
  </r>
  <r>
    <x v="161"/>
    <x v="448"/>
    <x v="2"/>
    <x v="3"/>
    <x v="0"/>
    <x v="19"/>
    <x v="445"/>
    <x v="9"/>
    <x v="447"/>
    <x v="0"/>
    <x v="445"/>
    <x v="2"/>
    <x v="2"/>
  </r>
  <r>
    <x v="124"/>
    <x v="449"/>
    <x v="1"/>
    <x v="0"/>
    <x v="0"/>
    <x v="13"/>
    <x v="446"/>
    <x v="11"/>
    <x v="448"/>
    <x v="8"/>
    <x v="446"/>
    <x v="1"/>
    <x v="0"/>
  </r>
  <r>
    <x v="254"/>
    <x v="450"/>
    <x v="0"/>
    <x v="0"/>
    <x v="3"/>
    <x v="9"/>
    <x v="447"/>
    <x v="5"/>
    <x v="449"/>
    <x v="16"/>
    <x v="447"/>
    <x v="3"/>
    <x v="2"/>
  </r>
  <r>
    <x v="249"/>
    <x v="451"/>
    <x v="2"/>
    <x v="4"/>
    <x v="1"/>
    <x v="5"/>
    <x v="448"/>
    <x v="3"/>
    <x v="450"/>
    <x v="12"/>
    <x v="448"/>
    <x v="0"/>
    <x v="1"/>
  </r>
  <r>
    <x v="155"/>
    <x v="452"/>
    <x v="1"/>
    <x v="4"/>
    <x v="1"/>
    <x v="16"/>
    <x v="449"/>
    <x v="2"/>
    <x v="451"/>
    <x v="23"/>
    <x v="449"/>
    <x v="1"/>
    <x v="2"/>
  </r>
  <r>
    <x v="109"/>
    <x v="453"/>
    <x v="1"/>
    <x v="1"/>
    <x v="3"/>
    <x v="9"/>
    <x v="450"/>
    <x v="0"/>
    <x v="452"/>
    <x v="8"/>
    <x v="450"/>
    <x v="2"/>
    <x v="1"/>
  </r>
  <r>
    <x v="225"/>
    <x v="454"/>
    <x v="3"/>
    <x v="0"/>
    <x v="1"/>
    <x v="1"/>
    <x v="451"/>
    <x v="3"/>
    <x v="453"/>
    <x v="26"/>
    <x v="451"/>
    <x v="2"/>
    <x v="2"/>
  </r>
  <r>
    <x v="263"/>
    <x v="455"/>
    <x v="2"/>
    <x v="3"/>
    <x v="3"/>
    <x v="10"/>
    <x v="452"/>
    <x v="6"/>
    <x v="454"/>
    <x v="2"/>
    <x v="452"/>
    <x v="2"/>
    <x v="0"/>
  </r>
  <r>
    <x v="131"/>
    <x v="456"/>
    <x v="0"/>
    <x v="2"/>
    <x v="1"/>
    <x v="16"/>
    <x v="453"/>
    <x v="2"/>
    <x v="455"/>
    <x v="18"/>
    <x v="453"/>
    <x v="2"/>
    <x v="2"/>
  </r>
  <r>
    <x v="148"/>
    <x v="457"/>
    <x v="3"/>
    <x v="1"/>
    <x v="3"/>
    <x v="10"/>
    <x v="454"/>
    <x v="1"/>
    <x v="456"/>
    <x v="28"/>
    <x v="454"/>
    <x v="1"/>
    <x v="2"/>
  </r>
  <r>
    <x v="264"/>
    <x v="458"/>
    <x v="2"/>
    <x v="4"/>
    <x v="3"/>
    <x v="10"/>
    <x v="455"/>
    <x v="14"/>
    <x v="457"/>
    <x v="24"/>
    <x v="455"/>
    <x v="1"/>
    <x v="0"/>
  </r>
  <r>
    <x v="265"/>
    <x v="459"/>
    <x v="3"/>
    <x v="2"/>
    <x v="0"/>
    <x v="13"/>
    <x v="456"/>
    <x v="3"/>
    <x v="458"/>
    <x v="10"/>
    <x v="456"/>
    <x v="3"/>
    <x v="0"/>
  </r>
  <r>
    <x v="205"/>
    <x v="460"/>
    <x v="2"/>
    <x v="2"/>
    <x v="0"/>
    <x v="18"/>
    <x v="457"/>
    <x v="4"/>
    <x v="459"/>
    <x v="27"/>
    <x v="457"/>
    <x v="0"/>
    <x v="0"/>
  </r>
  <r>
    <x v="35"/>
    <x v="461"/>
    <x v="3"/>
    <x v="3"/>
    <x v="3"/>
    <x v="14"/>
    <x v="458"/>
    <x v="14"/>
    <x v="460"/>
    <x v="12"/>
    <x v="458"/>
    <x v="2"/>
    <x v="1"/>
  </r>
  <r>
    <x v="93"/>
    <x v="462"/>
    <x v="0"/>
    <x v="0"/>
    <x v="1"/>
    <x v="2"/>
    <x v="459"/>
    <x v="10"/>
    <x v="461"/>
    <x v="0"/>
    <x v="459"/>
    <x v="1"/>
    <x v="2"/>
  </r>
  <r>
    <x v="179"/>
    <x v="463"/>
    <x v="2"/>
    <x v="0"/>
    <x v="3"/>
    <x v="12"/>
    <x v="460"/>
    <x v="13"/>
    <x v="462"/>
    <x v="10"/>
    <x v="460"/>
    <x v="0"/>
    <x v="0"/>
  </r>
  <r>
    <x v="33"/>
    <x v="464"/>
    <x v="1"/>
    <x v="2"/>
    <x v="2"/>
    <x v="6"/>
    <x v="461"/>
    <x v="0"/>
    <x v="463"/>
    <x v="0"/>
    <x v="461"/>
    <x v="2"/>
    <x v="0"/>
  </r>
  <r>
    <x v="138"/>
    <x v="465"/>
    <x v="3"/>
    <x v="0"/>
    <x v="0"/>
    <x v="0"/>
    <x v="462"/>
    <x v="14"/>
    <x v="464"/>
    <x v="16"/>
    <x v="462"/>
    <x v="3"/>
    <x v="0"/>
  </r>
  <r>
    <x v="265"/>
    <x v="466"/>
    <x v="1"/>
    <x v="3"/>
    <x v="2"/>
    <x v="6"/>
    <x v="463"/>
    <x v="13"/>
    <x v="465"/>
    <x v="16"/>
    <x v="463"/>
    <x v="3"/>
    <x v="1"/>
  </r>
  <r>
    <x v="145"/>
    <x v="467"/>
    <x v="3"/>
    <x v="4"/>
    <x v="3"/>
    <x v="14"/>
    <x v="464"/>
    <x v="9"/>
    <x v="466"/>
    <x v="5"/>
    <x v="464"/>
    <x v="3"/>
    <x v="1"/>
  </r>
  <r>
    <x v="266"/>
    <x v="468"/>
    <x v="2"/>
    <x v="1"/>
    <x v="0"/>
    <x v="13"/>
    <x v="465"/>
    <x v="0"/>
    <x v="467"/>
    <x v="6"/>
    <x v="465"/>
    <x v="3"/>
    <x v="0"/>
  </r>
  <r>
    <x v="70"/>
    <x v="469"/>
    <x v="0"/>
    <x v="3"/>
    <x v="2"/>
    <x v="17"/>
    <x v="466"/>
    <x v="12"/>
    <x v="468"/>
    <x v="23"/>
    <x v="466"/>
    <x v="1"/>
    <x v="1"/>
  </r>
  <r>
    <x v="249"/>
    <x v="470"/>
    <x v="2"/>
    <x v="4"/>
    <x v="2"/>
    <x v="4"/>
    <x v="467"/>
    <x v="10"/>
    <x v="469"/>
    <x v="17"/>
    <x v="467"/>
    <x v="1"/>
    <x v="1"/>
  </r>
  <r>
    <x v="267"/>
    <x v="471"/>
    <x v="2"/>
    <x v="4"/>
    <x v="0"/>
    <x v="13"/>
    <x v="468"/>
    <x v="3"/>
    <x v="470"/>
    <x v="0"/>
    <x v="468"/>
    <x v="3"/>
    <x v="0"/>
  </r>
  <r>
    <x v="37"/>
    <x v="472"/>
    <x v="1"/>
    <x v="4"/>
    <x v="0"/>
    <x v="18"/>
    <x v="469"/>
    <x v="6"/>
    <x v="471"/>
    <x v="15"/>
    <x v="469"/>
    <x v="3"/>
    <x v="0"/>
  </r>
  <r>
    <x v="222"/>
    <x v="473"/>
    <x v="3"/>
    <x v="3"/>
    <x v="3"/>
    <x v="10"/>
    <x v="470"/>
    <x v="4"/>
    <x v="472"/>
    <x v="24"/>
    <x v="470"/>
    <x v="1"/>
    <x v="0"/>
  </r>
  <r>
    <x v="47"/>
    <x v="474"/>
    <x v="0"/>
    <x v="4"/>
    <x v="2"/>
    <x v="6"/>
    <x v="471"/>
    <x v="5"/>
    <x v="473"/>
    <x v="25"/>
    <x v="471"/>
    <x v="3"/>
    <x v="0"/>
  </r>
  <r>
    <x v="268"/>
    <x v="475"/>
    <x v="1"/>
    <x v="3"/>
    <x v="0"/>
    <x v="0"/>
    <x v="472"/>
    <x v="11"/>
    <x v="474"/>
    <x v="8"/>
    <x v="472"/>
    <x v="1"/>
    <x v="2"/>
  </r>
  <r>
    <x v="269"/>
    <x v="476"/>
    <x v="3"/>
    <x v="4"/>
    <x v="3"/>
    <x v="15"/>
    <x v="473"/>
    <x v="11"/>
    <x v="475"/>
    <x v="29"/>
    <x v="473"/>
    <x v="0"/>
    <x v="2"/>
  </r>
  <r>
    <x v="270"/>
    <x v="477"/>
    <x v="0"/>
    <x v="2"/>
    <x v="0"/>
    <x v="19"/>
    <x v="474"/>
    <x v="8"/>
    <x v="476"/>
    <x v="17"/>
    <x v="474"/>
    <x v="2"/>
    <x v="2"/>
  </r>
  <r>
    <x v="248"/>
    <x v="478"/>
    <x v="2"/>
    <x v="4"/>
    <x v="2"/>
    <x v="11"/>
    <x v="475"/>
    <x v="0"/>
    <x v="477"/>
    <x v="14"/>
    <x v="475"/>
    <x v="1"/>
    <x v="0"/>
  </r>
  <r>
    <x v="271"/>
    <x v="479"/>
    <x v="1"/>
    <x v="1"/>
    <x v="1"/>
    <x v="1"/>
    <x v="476"/>
    <x v="5"/>
    <x v="478"/>
    <x v="12"/>
    <x v="476"/>
    <x v="1"/>
    <x v="2"/>
  </r>
  <r>
    <x v="8"/>
    <x v="480"/>
    <x v="0"/>
    <x v="1"/>
    <x v="2"/>
    <x v="11"/>
    <x v="477"/>
    <x v="0"/>
    <x v="479"/>
    <x v="13"/>
    <x v="477"/>
    <x v="1"/>
    <x v="2"/>
  </r>
  <r>
    <x v="182"/>
    <x v="481"/>
    <x v="1"/>
    <x v="1"/>
    <x v="2"/>
    <x v="4"/>
    <x v="478"/>
    <x v="13"/>
    <x v="480"/>
    <x v="1"/>
    <x v="478"/>
    <x v="3"/>
    <x v="2"/>
  </r>
  <r>
    <x v="272"/>
    <x v="482"/>
    <x v="0"/>
    <x v="2"/>
    <x v="3"/>
    <x v="10"/>
    <x v="479"/>
    <x v="10"/>
    <x v="481"/>
    <x v="26"/>
    <x v="479"/>
    <x v="0"/>
    <x v="1"/>
  </r>
  <r>
    <x v="20"/>
    <x v="483"/>
    <x v="2"/>
    <x v="0"/>
    <x v="2"/>
    <x v="17"/>
    <x v="480"/>
    <x v="2"/>
    <x v="482"/>
    <x v="1"/>
    <x v="480"/>
    <x v="0"/>
    <x v="0"/>
  </r>
  <r>
    <x v="232"/>
    <x v="484"/>
    <x v="3"/>
    <x v="0"/>
    <x v="0"/>
    <x v="0"/>
    <x v="481"/>
    <x v="1"/>
    <x v="483"/>
    <x v="2"/>
    <x v="481"/>
    <x v="2"/>
    <x v="1"/>
  </r>
  <r>
    <x v="112"/>
    <x v="485"/>
    <x v="1"/>
    <x v="1"/>
    <x v="3"/>
    <x v="10"/>
    <x v="482"/>
    <x v="10"/>
    <x v="484"/>
    <x v="22"/>
    <x v="482"/>
    <x v="1"/>
    <x v="2"/>
  </r>
  <r>
    <x v="273"/>
    <x v="486"/>
    <x v="3"/>
    <x v="4"/>
    <x v="1"/>
    <x v="3"/>
    <x v="483"/>
    <x v="12"/>
    <x v="485"/>
    <x v="10"/>
    <x v="483"/>
    <x v="2"/>
    <x v="1"/>
  </r>
  <r>
    <x v="128"/>
    <x v="487"/>
    <x v="1"/>
    <x v="2"/>
    <x v="3"/>
    <x v="9"/>
    <x v="484"/>
    <x v="10"/>
    <x v="486"/>
    <x v="2"/>
    <x v="484"/>
    <x v="0"/>
    <x v="0"/>
  </r>
  <r>
    <x v="274"/>
    <x v="488"/>
    <x v="3"/>
    <x v="4"/>
    <x v="0"/>
    <x v="0"/>
    <x v="485"/>
    <x v="8"/>
    <x v="487"/>
    <x v="14"/>
    <x v="485"/>
    <x v="0"/>
    <x v="2"/>
  </r>
  <r>
    <x v="275"/>
    <x v="489"/>
    <x v="3"/>
    <x v="1"/>
    <x v="0"/>
    <x v="13"/>
    <x v="486"/>
    <x v="2"/>
    <x v="488"/>
    <x v="0"/>
    <x v="486"/>
    <x v="0"/>
    <x v="2"/>
  </r>
  <r>
    <x v="127"/>
    <x v="490"/>
    <x v="1"/>
    <x v="1"/>
    <x v="1"/>
    <x v="5"/>
    <x v="487"/>
    <x v="4"/>
    <x v="489"/>
    <x v="20"/>
    <x v="487"/>
    <x v="3"/>
    <x v="0"/>
  </r>
  <r>
    <x v="276"/>
    <x v="491"/>
    <x v="2"/>
    <x v="3"/>
    <x v="3"/>
    <x v="10"/>
    <x v="488"/>
    <x v="0"/>
    <x v="490"/>
    <x v="25"/>
    <x v="488"/>
    <x v="2"/>
    <x v="2"/>
  </r>
  <r>
    <x v="186"/>
    <x v="492"/>
    <x v="3"/>
    <x v="3"/>
    <x v="2"/>
    <x v="4"/>
    <x v="489"/>
    <x v="8"/>
    <x v="491"/>
    <x v="9"/>
    <x v="489"/>
    <x v="3"/>
    <x v="2"/>
  </r>
  <r>
    <x v="160"/>
    <x v="493"/>
    <x v="1"/>
    <x v="3"/>
    <x v="2"/>
    <x v="4"/>
    <x v="490"/>
    <x v="3"/>
    <x v="492"/>
    <x v="0"/>
    <x v="490"/>
    <x v="0"/>
    <x v="0"/>
  </r>
  <r>
    <x v="236"/>
    <x v="494"/>
    <x v="2"/>
    <x v="4"/>
    <x v="3"/>
    <x v="10"/>
    <x v="491"/>
    <x v="0"/>
    <x v="493"/>
    <x v="18"/>
    <x v="491"/>
    <x v="0"/>
    <x v="0"/>
  </r>
  <r>
    <x v="276"/>
    <x v="495"/>
    <x v="0"/>
    <x v="0"/>
    <x v="3"/>
    <x v="14"/>
    <x v="492"/>
    <x v="11"/>
    <x v="494"/>
    <x v="30"/>
    <x v="492"/>
    <x v="1"/>
    <x v="2"/>
  </r>
  <r>
    <x v="180"/>
    <x v="496"/>
    <x v="1"/>
    <x v="3"/>
    <x v="3"/>
    <x v="15"/>
    <x v="493"/>
    <x v="13"/>
    <x v="495"/>
    <x v="14"/>
    <x v="493"/>
    <x v="3"/>
    <x v="0"/>
  </r>
  <r>
    <x v="227"/>
    <x v="497"/>
    <x v="2"/>
    <x v="4"/>
    <x v="2"/>
    <x v="8"/>
    <x v="494"/>
    <x v="8"/>
    <x v="496"/>
    <x v="14"/>
    <x v="494"/>
    <x v="2"/>
    <x v="2"/>
  </r>
  <r>
    <x v="57"/>
    <x v="498"/>
    <x v="2"/>
    <x v="1"/>
    <x v="1"/>
    <x v="1"/>
    <x v="495"/>
    <x v="10"/>
    <x v="497"/>
    <x v="29"/>
    <x v="495"/>
    <x v="3"/>
    <x v="2"/>
  </r>
  <r>
    <x v="124"/>
    <x v="499"/>
    <x v="1"/>
    <x v="3"/>
    <x v="1"/>
    <x v="5"/>
    <x v="496"/>
    <x v="3"/>
    <x v="498"/>
    <x v="28"/>
    <x v="496"/>
    <x v="2"/>
    <x v="2"/>
  </r>
  <r>
    <x v="31"/>
    <x v="500"/>
    <x v="0"/>
    <x v="0"/>
    <x v="1"/>
    <x v="2"/>
    <x v="497"/>
    <x v="14"/>
    <x v="499"/>
    <x v="15"/>
    <x v="497"/>
    <x v="1"/>
    <x v="0"/>
  </r>
  <r>
    <x v="222"/>
    <x v="501"/>
    <x v="0"/>
    <x v="0"/>
    <x v="3"/>
    <x v="14"/>
    <x v="498"/>
    <x v="11"/>
    <x v="500"/>
    <x v="5"/>
    <x v="498"/>
    <x v="3"/>
    <x v="0"/>
  </r>
  <r>
    <x v="119"/>
    <x v="502"/>
    <x v="2"/>
    <x v="1"/>
    <x v="0"/>
    <x v="7"/>
    <x v="499"/>
    <x v="1"/>
    <x v="501"/>
    <x v="17"/>
    <x v="499"/>
    <x v="2"/>
    <x v="0"/>
  </r>
  <r>
    <x v="74"/>
    <x v="503"/>
    <x v="1"/>
    <x v="3"/>
    <x v="2"/>
    <x v="6"/>
    <x v="500"/>
    <x v="6"/>
    <x v="502"/>
    <x v="2"/>
    <x v="500"/>
    <x v="0"/>
    <x v="0"/>
  </r>
  <r>
    <x v="277"/>
    <x v="504"/>
    <x v="1"/>
    <x v="2"/>
    <x v="1"/>
    <x v="1"/>
    <x v="501"/>
    <x v="1"/>
    <x v="503"/>
    <x v="22"/>
    <x v="501"/>
    <x v="3"/>
    <x v="2"/>
  </r>
  <r>
    <x v="278"/>
    <x v="505"/>
    <x v="1"/>
    <x v="3"/>
    <x v="1"/>
    <x v="2"/>
    <x v="502"/>
    <x v="12"/>
    <x v="504"/>
    <x v="27"/>
    <x v="502"/>
    <x v="0"/>
    <x v="1"/>
  </r>
  <r>
    <x v="143"/>
    <x v="506"/>
    <x v="3"/>
    <x v="4"/>
    <x v="1"/>
    <x v="16"/>
    <x v="503"/>
    <x v="12"/>
    <x v="505"/>
    <x v="8"/>
    <x v="503"/>
    <x v="2"/>
    <x v="1"/>
  </r>
  <r>
    <x v="183"/>
    <x v="507"/>
    <x v="0"/>
    <x v="0"/>
    <x v="2"/>
    <x v="6"/>
    <x v="504"/>
    <x v="1"/>
    <x v="506"/>
    <x v="30"/>
    <x v="504"/>
    <x v="1"/>
    <x v="2"/>
  </r>
  <r>
    <x v="271"/>
    <x v="508"/>
    <x v="0"/>
    <x v="1"/>
    <x v="1"/>
    <x v="16"/>
    <x v="505"/>
    <x v="12"/>
    <x v="507"/>
    <x v="4"/>
    <x v="505"/>
    <x v="2"/>
    <x v="0"/>
  </r>
  <r>
    <x v="97"/>
    <x v="509"/>
    <x v="1"/>
    <x v="1"/>
    <x v="3"/>
    <x v="9"/>
    <x v="506"/>
    <x v="8"/>
    <x v="508"/>
    <x v="7"/>
    <x v="506"/>
    <x v="0"/>
    <x v="2"/>
  </r>
  <r>
    <x v="63"/>
    <x v="510"/>
    <x v="1"/>
    <x v="0"/>
    <x v="0"/>
    <x v="7"/>
    <x v="507"/>
    <x v="14"/>
    <x v="509"/>
    <x v="11"/>
    <x v="507"/>
    <x v="3"/>
    <x v="1"/>
  </r>
  <r>
    <x v="279"/>
    <x v="511"/>
    <x v="3"/>
    <x v="2"/>
    <x v="3"/>
    <x v="9"/>
    <x v="508"/>
    <x v="10"/>
    <x v="510"/>
    <x v="26"/>
    <x v="508"/>
    <x v="1"/>
    <x v="2"/>
  </r>
  <r>
    <x v="34"/>
    <x v="512"/>
    <x v="2"/>
    <x v="3"/>
    <x v="0"/>
    <x v="18"/>
    <x v="509"/>
    <x v="9"/>
    <x v="511"/>
    <x v="24"/>
    <x v="509"/>
    <x v="0"/>
    <x v="0"/>
  </r>
  <r>
    <x v="280"/>
    <x v="513"/>
    <x v="2"/>
    <x v="1"/>
    <x v="1"/>
    <x v="16"/>
    <x v="510"/>
    <x v="5"/>
    <x v="512"/>
    <x v="21"/>
    <x v="510"/>
    <x v="3"/>
    <x v="0"/>
  </r>
  <r>
    <x v="118"/>
    <x v="514"/>
    <x v="3"/>
    <x v="0"/>
    <x v="3"/>
    <x v="14"/>
    <x v="511"/>
    <x v="7"/>
    <x v="513"/>
    <x v="8"/>
    <x v="511"/>
    <x v="3"/>
    <x v="1"/>
  </r>
  <r>
    <x v="160"/>
    <x v="515"/>
    <x v="0"/>
    <x v="0"/>
    <x v="1"/>
    <x v="1"/>
    <x v="512"/>
    <x v="4"/>
    <x v="514"/>
    <x v="16"/>
    <x v="512"/>
    <x v="0"/>
    <x v="2"/>
  </r>
  <r>
    <x v="171"/>
    <x v="516"/>
    <x v="3"/>
    <x v="4"/>
    <x v="0"/>
    <x v="19"/>
    <x v="513"/>
    <x v="2"/>
    <x v="515"/>
    <x v="2"/>
    <x v="513"/>
    <x v="2"/>
    <x v="1"/>
  </r>
  <r>
    <x v="131"/>
    <x v="517"/>
    <x v="3"/>
    <x v="3"/>
    <x v="2"/>
    <x v="11"/>
    <x v="514"/>
    <x v="0"/>
    <x v="516"/>
    <x v="9"/>
    <x v="514"/>
    <x v="3"/>
    <x v="2"/>
  </r>
  <r>
    <x v="281"/>
    <x v="518"/>
    <x v="0"/>
    <x v="3"/>
    <x v="2"/>
    <x v="17"/>
    <x v="515"/>
    <x v="10"/>
    <x v="517"/>
    <x v="18"/>
    <x v="515"/>
    <x v="0"/>
    <x v="0"/>
  </r>
  <r>
    <x v="82"/>
    <x v="519"/>
    <x v="2"/>
    <x v="0"/>
    <x v="2"/>
    <x v="17"/>
    <x v="516"/>
    <x v="5"/>
    <x v="518"/>
    <x v="2"/>
    <x v="516"/>
    <x v="3"/>
    <x v="2"/>
  </r>
  <r>
    <x v="135"/>
    <x v="520"/>
    <x v="0"/>
    <x v="3"/>
    <x v="2"/>
    <x v="11"/>
    <x v="517"/>
    <x v="2"/>
    <x v="519"/>
    <x v="1"/>
    <x v="517"/>
    <x v="2"/>
    <x v="2"/>
  </r>
  <r>
    <x v="282"/>
    <x v="521"/>
    <x v="1"/>
    <x v="0"/>
    <x v="0"/>
    <x v="19"/>
    <x v="518"/>
    <x v="0"/>
    <x v="520"/>
    <x v="0"/>
    <x v="518"/>
    <x v="2"/>
    <x v="1"/>
  </r>
  <r>
    <x v="157"/>
    <x v="522"/>
    <x v="1"/>
    <x v="2"/>
    <x v="2"/>
    <x v="8"/>
    <x v="519"/>
    <x v="14"/>
    <x v="521"/>
    <x v="24"/>
    <x v="519"/>
    <x v="0"/>
    <x v="0"/>
  </r>
  <r>
    <x v="37"/>
    <x v="523"/>
    <x v="2"/>
    <x v="0"/>
    <x v="2"/>
    <x v="8"/>
    <x v="520"/>
    <x v="3"/>
    <x v="522"/>
    <x v="10"/>
    <x v="520"/>
    <x v="1"/>
    <x v="0"/>
  </r>
  <r>
    <x v="110"/>
    <x v="524"/>
    <x v="0"/>
    <x v="1"/>
    <x v="3"/>
    <x v="15"/>
    <x v="521"/>
    <x v="11"/>
    <x v="523"/>
    <x v="15"/>
    <x v="521"/>
    <x v="1"/>
    <x v="0"/>
  </r>
  <r>
    <x v="15"/>
    <x v="525"/>
    <x v="1"/>
    <x v="1"/>
    <x v="3"/>
    <x v="9"/>
    <x v="522"/>
    <x v="13"/>
    <x v="524"/>
    <x v="6"/>
    <x v="522"/>
    <x v="1"/>
    <x v="0"/>
  </r>
  <r>
    <x v="212"/>
    <x v="526"/>
    <x v="2"/>
    <x v="3"/>
    <x v="0"/>
    <x v="0"/>
    <x v="523"/>
    <x v="11"/>
    <x v="525"/>
    <x v="8"/>
    <x v="523"/>
    <x v="2"/>
    <x v="1"/>
  </r>
  <r>
    <x v="170"/>
    <x v="527"/>
    <x v="1"/>
    <x v="0"/>
    <x v="2"/>
    <x v="4"/>
    <x v="524"/>
    <x v="8"/>
    <x v="526"/>
    <x v="4"/>
    <x v="524"/>
    <x v="0"/>
    <x v="2"/>
  </r>
  <r>
    <x v="132"/>
    <x v="528"/>
    <x v="3"/>
    <x v="3"/>
    <x v="1"/>
    <x v="2"/>
    <x v="525"/>
    <x v="14"/>
    <x v="527"/>
    <x v="17"/>
    <x v="525"/>
    <x v="0"/>
    <x v="2"/>
  </r>
  <r>
    <x v="283"/>
    <x v="529"/>
    <x v="1"/>
    <x v="2"/>
    <x v="3"/>
    <x v="9"/>
    <x v="526"/>
    <x v="7"/>
    <x v="528"/>
    <x v="9"/>
    <x v="526"/>
    <x v="3"/>
    <x v="0"/>
  </r>
  <r>
    <x v="278"/>
    <x v="530"/>
    <x v="2"/>
    <x v="4"/>
    <x v="3"/>
    <x v="9"/>
    <x v="527"/>
    <x v="1"/>
    <x v="529"/>
    <x v="13"/>
    <x v="527"/>
    <x v="1"/>
    <x v="0"/>
  </r>
  <r>
    <x v="123"/>
    <x v="531"/>
    <x v="3"/>
    <x v="3"/>
    <x v="2"/>
    <x v="4"/>
    <x v="528"/>
    <x v="14"/>
    <x v="530"/>
    <x v="13"/>
    <x v="528"/>
    <x v="3"/>
    <x v="2"/>
  </r>
  <r>
    <x v="284"/>
    <x v="532"/>
    <x v="1"/>
    <x v="2"/>
    <x v="0"/>
    <x v="13"/>
    <x v="529"/>
    <x v="5"/>
    <x v="531"/>
    <x v="4"/>
    <x v="529"/>
    <x v="2"/>
    <x v="2"/>
  </r>
  <r>
    <x v="276"/>
    <x v="533"/>
    <x v="2"/>
    <x v="2"/>
    <x v="1"/>
    <x v="2"/>
    <x v="530"/>
    <x v="2"/>
    <x v="532"/>
    <x v="21"/>
    <x v="530"/>
    <x v="2"/>
    <x v="2"/>
  </r>
  <r>
    <x v="20"/>
    <x v="534"/>
    <x v="0"/>
    <x v="0"/>
    <x v="1"/>
    <x v="2"/>
    <x v="531"/>
    <x v="9"/>
    <x v="533"/>
    <x v="19"/>
    <x v="531"/>
    <x v="3"/>
    <x v="1"/>
  </r>
  <r>
    <x v="67"/>
    <x v="535"/>
    <x v="3"/>
    <x v="1"/>
    <x v="2"/>
    <x v="4"/>
    <x v="532"/>
    <x v="9"/>
    <x v="534"/>
    <x v="18"/>
    <x v="532"/>
    <x v="1"/>
    <x v="1"/>
  </r>
  <r>
    <x v="239"/>
    <x v="536"/>
    <x v="0"/>
    <x v="3"/>
    <x v="2"/>
    <x v="8"/>
    <x v="533"/>
    <x v="4"/>
    <x v="535"/>
    <x v="23"/>
    <x v="533"/>
    <x v="0"/>
    <x v="2"/>
  </r>
  <r>
    <x v="229"/>
    <x v="537"/>
    <x v="3"/>
    <x v="3"/>
    <x v="0"/>
    <x v="13"/>
    <x v="534"/>
    <x v="0"/>
    <x v="536"/>
    <x v="17"/>
    <x v="534"/>
    <x v="2"/>
    <x v="1"/>
  </r>
  <r>
    <x v="241"/>
    <x v="538"/>
    <x v="0"/>
    <x v="3"/>
    <x v="3"/>
    <x v="9"/>
    <x v="535"/>
    <x v="4"/>
    <x v="537"/>
    <x v="15"/>
    <x v="535"/>
    <x v="3"/>
    <x v="0"/>
  </r>
  <r>
    <x v="237"/>
    <x v="539"/>
    <x v="2"/>
    <x v="0"/>
    <x v="1"/>
    <x v="3"/>
    <x v="536"/>
    <x v="4"/>
    <x v="538"/>
    <x v="24"/>
    <x v="536"/>
    <x v="3"/>
    <x v="0"/>
  </r>
  <r>
    <x v="285"/>
    <x v="540"/>
    <x v="2"/>
    <x v="0"/>
    <x v="2"/>
    <x v="8"/>
    <x v="537"/>
    <x v="3"/>
    <x v="539"/>
    <x v="12"/>
    <x v="537"/>
    <x v="0"/>
    <x v="0"/>
  </r>
  <r>
    <x v="113"/>
    <x v="541"/>
    <x v="0"/>
    <x v="2"/>
    <x v="2"/>
    <x v="17"/>
    <x v="538"/>
    <x v="8"/>
    <x v="540"/>
    <x v="24"/>
    <x v="538"/>
    <x v="0"/>
    <x v="2"/>
  </r>
  <r>
    <x v="25"/>
    <x v="542"/>
    <x v="1"/>
    <x v="3"/>
    <x v="1"/>
    <x v="3"/>
    <x v="539"/>
    <x v="14"/>
    <x v="541"/>
    <x v="10"/>
    <x v="539"/>
    <x v="2"/>
    <x v="0"/>
  </r>
  <r>
    <x v="286"/>
    <x v="543"/>
    <x v="0"/>
    <x v="4"/>
    <x v="3"/>
    <x v="12"/>
    <x v="540"/>
    <x v="9"/>
    <x v="542"/>
    <x v="18"/>
    <x v="540"/>
    <x v="0"/>
    <x v="0"/>
  </r>
  <r>
    <x v="28"/>
    <x v="544"/>
    <x v="2"/>
    <x v="3"/>
    <x v="3"/>
    <x v="10"/>
    <x v="541"/>
    <x v="0"/>
    <x v="543"/>
    <x v="8"/>
    <x v="541"/>
    <x v="1"/>
    <x v="2"/>
  </r>
  <r>
    <x v="287"/>
    <x v="545"/>
    <x v="2"/>
    <x v="2"/>
    <x v="3"/>
    <x v="14"/>
    <x v="542"/>
    <x v="12"/>
    <x v="544"/>
    <x v="8"/>
    <x v="542"/>
    <x v="0"/>
    <x v="2"/>
  </r>
  <r>
    <x v="156"/>
    <x v="546"/>
    <x v="0"/>
    <x v="2"/>
    <x v="1"/>
    <x v="1"/>
    <x v="543"/>
    <x v="8"/>
    <x v="545"/>
    <x v="15"/>
    <x v="543"/>
    <x v="0"/>
    <x v="2"/>
  </r>
  <r>
    <x v="288"/>
    <x v="547"/>
    <x v="2"/>
    <x v="3"/>
    <x v="3"/>
    <x v="10"/>
    <x v="544"/>
    <x v="14"/>
    <x v="546"/>
    <x v="2"/>
    <x v="544"/>
    <x v="2"/>
    <x v="0"/>
  </r>
  <r>
    <x v="83"/>
    <x v="548"/>
    <x v="0"/>
    <x v="0"/>
    <x v="0"/>
    <x v="18"/>
    <x v="545"/>
    <x v="14"/>
    <x v="547"/>
    <x v="10"/>
    <x v="545"/>
    <x v="0"/>
    <x v="2"/>
  </r>
  <r>
    <x v="98"/>
    <x v="549"/>
    <x v="2"/>
    <x v="4"/>
    <x v="1"/>
    <x v="5"/>
    <x v="546"/>
    <x v="13"/>
    <x v="548"/>
    <x v="14"/>
    <x v="546"/>
    <x v="0"/>
    <x v="0"/>
  </r>
  <r>
    <x v="59"/>
    <x v="550"/>
    <x v="0"/>
    <x v="2"/>
    <x v="1"/>
    <x v="2"/>
    <x v="547"/>
    <x v="0"/>
    <x v="549"/>
    <x v="0"/>
    <x v="547"/>
    <x v="2"/>
    <x v="2"/>
  </r>
  <r>
    <x v="289"/>
    <x v="551"/>
    <x v="1"/>
    <x v="4"/>
    <x v="0"/>
    <x v="18"/>
    <x v="548"/>
    <x v="7"/>
    <x v="550"/>
    <x v="6"/>
    <x v="548"/>
    <x v="1"/>
    <x v="0"/>
  </r>
  <r>
    <x v="134"/>
    <x v="552"/>
    <x v="0"/>
    <x v="3"/>
    <x v="3"/>
    <x v="15"/>
    <x v="549"/>
    <x v="6"/>
    <x v="551"/>
    <x v="4"/>
    <x v="549"/>
    <x v="0"/>
    <x v="1"/>
  </r>
  <r>
    <x v="290"/>
    <x v="553"/>
    <x v="2"/>
    <x v="4"/>
    <x v="1"/>
    <x v="1"/>
    <x v="550"/>
    <x v="1"/>
    <x v="552"/>
    <x v="15"/>
    <x v="550"/>
    <x v="1"/>
    <x v="2"/>
  </r>
  <r>
    <x v="196"/>
    <x v="554"/>
    <x v="0"/>
    <x v="0"/>
    <x v="0"/>
    <x v="13"/>
    <x v="551"/>
    <x v="5"/>
    <x v="553"/>
    <x v="17"/>
    <x v="551"/>
    <x v="3"/>
    <x v="0"/>
  </r>
  <r>
    <x v="291"/>
    <x v="555"/>
    <x v="0"/>
    <x v="0"/>
    <x v="3"/>
    <x v="15"/>
    <x v="552"/>
    <x v="10"/>
    <x v="554"/>
    <x v="8"/>
    <x v="552"/>
    <x v="3"/>
    <x v="0"/>
  </r>
  <r>
    <x v="58"/>
    <x v="556"/>
    <x v="2"/>
    <x v="4"/>
    <x v="1"/>
    <x v="1"/>
    <x v="553"/>
    <x v="3"/>
    <x v="555"/>
    <x v="21"/>
    <x v="553"/>
    <x v="3"/>
    <x v="2"/>
  </r>
  <r>
    <x v="95"/>
    <x v="557"/>
    <x v="2"/>
    <x v="3"/>
    <x v="1"/>
    <x v="2"/>
    <x v="554"/>
    <x v="8"/>
    <x v="556"/>
    <x v="18"/>
    <x v="554"/>
    <x v="0"/>
    <x v="1"/>
  </r>
  <r>
    <x v="111"/>
    <x v="558"/>
    <x v="2"/>
    <x v="3"/>
    <x v="3"/>
    <x v="12"/>
    <x v="555"/>
    <x v="1"/>
    <x v="557"/>
    <x v="17"/>
    <x v="555"/>
    <x v="2"/>
    <x v="2"/>
  </r>
  <r>
    <x v="68"/>
    <x v="559"/>
    <x v="0"/>
    <x v="2"/>
    <x v="0"/>
    <x v="7"/>
    <x v="556"/>
    <x v="9"/>
    <x v="558"/>
    <x v="9"/>
    <x v="556"/>
    <x v="0"/>
    <x v="0"/>
  </r>
  <r>
    <x v="114"/>
    <x v="560"/>
    <x v="0"/>
    <x v="1"/>
    <x v="2"/>
    <x v="4"/>
    <x v="557"/>
    <x v="6"/>
    <x v="559"/>
    <x v="18"/>
    <x v="557"/>
    <x v="2"/>
    <x v="0"/>
  </r>
  <r>
    <x v="283"/>
    <x v="561"/>
    <x v="0"/>
    <x v="2"/>
    <x v="3"/>
    <x v="12"/>
    <x v="558"/>
    <x v="5"/>
    <x v="560"/>
    <x v="18"/>
    <x v="558"/>
    <x v="2"/>
    <x v="2"/>
  </r>
  <r>
    <x v="292"/>
    <x v="562"/>
    <x v="1"/>
    <x v="1"/>
    <x v="2"/>
    <x v="8"/>
    <x v="559"/>
    <x v="1"/>
    <x v="561"/>
    <x v="0"/>
    <x v="559"/>
    <x v="3"/>
    <x v="2"/>
  </r>
  <r>
    <x v="293"/>
    <x v="563"/>
    <x v="2"/>
    <x v="1"/>
    <x v="1"/>
    <x v="5"/>
    <x v="560"/>
    <x v="12"/>
    <x v="562"/>
    <x v="25"/>
    <x v="560"/>
    <x v="2"/>
    <x v="0"/>
  </r>
  <r>
    <x v="97"/>
    <x v="564"/>
    <x v="3"/>
    <x v="1"/>
    <x v="3"/>
    <x v="15"/>
    <x v="561"/>
    <x v="5"/>
    <x v="563"/>
    <x v="0"/>
    <x v="561"/>
    <x v="1"/>
    <x v="2"/>
  </r>
  <r>
    <x v="294"/>
    <x v="565"/>
    <x v="0"/>
    <x v="2"/>
    <x v="2"/>
    <x v="8"/>
    <x v="562"/>
    <x v="0"/>
    <x v="564"/>
    <x v="10"/>
    <x v="562"/>
    <x v="2"/>
    <x v="0"/>
  </r>
  <r>
    <x v="295"/>
    <x v="566"/>
    <x v="3"/>
    <x v="3"/>
    <x v="3"/>
    <x v="10"/>
    <x v="563"/>
    <x v="4"/>
    <x v="565"/>
    <x v="9"/>
    <x v="563"/>
    <x v="0"/>
    <x v="0"/>
  </r>
  <r>
    <x v="66"/>
    <x v="567"/>
    <x v="2"/>
    <x v="1"/>
    <x v="2"/>
    <x v="4"/>
    <x v="564"/>
    <x v="14"/>
    <x v="566"/>
    <x v="20"/>
    <x v="564"/>
    <x v="0"/>
    <x v="0"/>
  </r>
  <r>
    <x v="262"/>
    <x v="568"/>
    <x v="2"/>
    <x v="4"/>
    <x v="0"/>
    <x v="0"/>
    <x v="565"/>
    <x v="14"/>
    <x v="567"/>
    <x v="16"/>
    <x v="565"/>
    <x v="1"/>
    <x v="2"/>
  </r>
  <r>
    <x v="36"/>
    <x v="569"/>
    <x v="3"/>
    <x v="2"/>
    <x v="1"/>
    <x v="2"/>
    <x v="566"/>
    <x v="4"/>
    <x v="568"/>
    <x v="28"/>
    <x v="566"/>
    <x v="0"/>
    <x v="1"/>
  </r>
  <r>
    <x v="205"/>
    <x v="570"/>
    <x v="3"/>
    <x v="4"/>
    <x v="0"/>
    <x v="0"/>
    <x v="567"/>
    <x v="10"/>
    <x v="569"/>
    <x v="21"/>
    <x v="567"/>
    <x v="1"/>
    <x v="0"/>
  </r>
  <r>
    <x v="176"/>
    <x v="571"/>
    <x v="3"/>
    <x v="1"/>
    <x v="0"/>
    <x v="18"/>
    <x v="568"/>
    <x v="0"/>
    <x v="570"/>
    <x v="15"/>
    <x v="568"/>
    <x v="2"/>
    <x v="1"/>
  </r>
  <r>
    <x v="232"/>
    <x v="572"/>
    <x v="0"/>
    <x v="4"/>
    <x v="3"/>
    <x v="15"/>
    <x v="569"/>
    <x v="4"/>
    <x v="571"/>
    <x v="25"/>
    <x v="569"/>
    <x v="1"/>
    <x v="0"/>
  </r>
  <r>
    <x v="296"/>
    <x v="573"/>
    <x v="0"/>
    <x v="4"/>
    <x v="1"/>
    <x v="16"/>
    <x v="570"/>
    <x v="3"/>
    <x v="572"/>
    <x v="9"/>
    <x v="570"/>
    <x v="3"/>
    <x v="2"/>
  </r>
  <r>
    <x v="245"/>
    <x v="574"/>
    <x v="1"/>
    <x v="2"/>
    <x v="3"/>
    <x v="12"/>
    <x v="571"/>
    <x v="8"/>
    <x v="573"/>
    <x v="25"/>
    <x v="571"/>
    <x v="3"/>
    <x v="0"/>
  </r>
  <r>
    <x v="297"/>
    <x v="575"/>
    <x v="1"/>
    <x v="3"/>
    <x v="2"/>
    <x v="4"/>
    <x v="572"/>
    <x v="5"/>
    <x v="574"/>
    <x v="17"/>
    <x v="572"/>
    <x v="3"/>
    <x v="2"/>
  </r>
  <r>
    <x v="212"/>
    <x v="576"/>
    <x v="1"/>
    <x v="0"/>
    <x v="2"/>
    <x v="6"/>
    <x v="573"/>
    <x v="0"/>
    <x v="575"/>
    <x v="14"/>
    <x v="573"/>
    <x v="1"/>
    <x v="0"/>
  </r>
  <r>
    <x v="255"/>
    <x v="577"/>
    <x v="2"/>
    <x v="0"/>
    <x v="3"/>
    <x v="10"/>
    <x v="574"/>
    <x v="14"/>
    <x v="576"/>
    <x v="28"/>
    <x v="574"/>
    <x v="1"/>
    <x v="2"/>
  </r>
  <r>
    <x v="31"/>
    <x v="578"/>
    <x v="1"/>
    <x v="3"/>
    <x v="0"/>
    <x v="18"/>
    <x v="575"/>
    <x v="7"/>
    <x v="577"/>
    <x v="6"/>
    <x v="575"/>
    <x v="2"/>
    <x v="0"/>
  </r>
  <r>
    <x v="118"/>
    <x v="579"/>
    <x v="2"/>
    <x v="4"/>
    <x v="0"/>
    <x v="7"/>
    <x v="576"/>
    <x v="7"/>
    <x v="578"/>
    <x v="9"/>
    <x v="576"/>
    <x v="2"/>
    <x v="1"/>
  </r>
  <r>
    <x v="110"/>
    <x v="580"/>
    <x v="3"/>
    <x v="2"/>
    <x v="3"/>
    <x v="12"/>
    <x v="577"/>
    <x v="9"/>
    <x v="579"/>
    <x v="23"/>
    <x v="577"/>
    <x v="0"/>
    <x v="0"/>
  </r>
  <r>
    <x v="81"/>
    <x v="581"/>
    <x v="3"/>
    <x v="0"/>
    <x v="3"/>
    <x v="10"/>
    <x v="578"/>
    <x v="1"/>
    <x v="580"/>
    <x v="6"/>
    <x v="578"/>
    <x v="1"/>
    <x v="1"/>
  </r>
  <r>
    <x v="113"/>
    <x v="582"/>
    <x v="3"/>
    <x v="4"/>
    <x v="1"/>
    <x v="5"/>
    <x v="579"/>
    <x v="1"/>
    <x v="581"/>
    <x v="16"/>
    <x v="579"/>
    <x v="0"/>
    <x v="1"/>
  </r>
  <r>
    <x v="162"/>
    <x v="583"/>
    <x v="2"/>
    <x v="2"/>
    <x v="2"/>
    <x v="8"/>
    <x v="580"/>
    <x v="3"/>
    <x v="582"/>
    <x v="9"/>
    <x v="580"/>
    <x v="2"/>
    <x v="1"/>
  </r>
  <r>
    <x v="298"/>
    <x v="584"/>
    <x v="1"/>
    <x v="2"/>
    <x v="1"/>
    <x v="2"/>
    <x v="581"/>
    <x v="11"/>
    <x v="583"/>
    <x v="11"/>
    <x v="581"/>
    <x v="3"/>
    <x v="0"/>
  </r>
  <r>
    <x v="299"/>
    <x v="585"/>
    <x v="3"/>
    <x v="4"/>
    <x v="2"/>
    <x v="8"/>
    <x v="582"/>
    <x v="5"/>
    <x v="584"/>
    <x v="14"/>
    <x v="582"/>
    <x v="3"/>
    <x v="2"/>
  </r>
  <r>
    <x v="73"/>
    <x v="586"/>
    <x v="0"/>
    <x v="3"/>
    <x v="0"/>
    <x v="18"/>
    <x v="583"/>
    <x v="9"/>
    <x v="585"/>
    <x v="1"/>
    <x v="583"/>
    <x v="0"/>
    <x v="2"/>
  </r>
  <r>
    <x v="163"/>
    <x v="587"/>
    <x v="0"/>
    <x v="1"/>
    <x v="2"/>
    <x v="6"/>
    <x v="584"/>
    <x v="4"/>
    <x v="586"/>
    <x v="6"/>
    <x v="584"/>
    <x v="0"/>
    <x v="1"/>
  </r>
  <r>
    <x v="298"/>
    <x v="588"/>
    <x v="0"/>
    <x v="3"/>
    <x v="3"/>
    <x v="15"/>
    <x v="585"/>
    <x v="2"/>
    <x v="587"/>
    <x v="8"/>
    <x v="585"/>
    <x v="2"/>
    <x v="1"/>
  </r>
  <r>
    <x v="300"/>
    <x v="589"/>
    <x v="3"/>
    <x v="0"/>
    <x v="3"/>
    <x v="9"/>
    <x v="586"/>
    <x v="14"/>
    <x v="588"/>
    <x v="11"/>
    <x v="586"/>
    <x v="3"/>
    <x v="2"/>
  </r>
  <r>
    <x v="91"/>
    <x v="590"/>
    <x v="1"/>
    <x v="1"/>
    <x v="1"/>
    <x v="16"/>
    <x v="587"/>
    <x v="14"/>
    <x v="589"/>
    <x v="12"/>
    <x v="587"/>
    <x v="3"/>
    <x v="2"/>
  </r>
  <r>
    <x v="36"/>
    <x v="591"/>
    <x v="2"/>
    <x v="0"/>
    <x v="2"/>
    <x v="4"/>
    <x v="588"/>
    <x v="14"/>
    <x v="590"/>
    <x v="15"/>
    <x v="588"/>
    <x v="3"/>
    <x v="2"/>
  </r>
  <r>
    <x v="245"/>
    <x v="592"/>
    <x v="3"/>
    <x v="0"/>
    <x v="2"/>
    <x v="17"/>
    <x v="589"/>
    <x v="11"/>
    <x v="591"/>
    <x v="29"/>
    <x v="589"/>
    <x v="3"/>
    <x v="0"/>
  </r>
  <r>
    <x v="271"/>
    <x v="593"/>
    <x v="2"/>
    <x v="2"/>
    <x v="3"/>
    <x v="10"/>
    <x v="590"/>
    <x v="14"/>
    <x v="592"/>
    <x v="14"/>
    <x v="590"/>
    <x v="0"/>
    <x v="2"/>
  </r>
  <r>
    <x v="200"/>
    <x v="594"/>
    <x v="3"/>
    <x v="0"/>
    <x v="2"/>
    <x v="17"/>
    <x v="591"/>
    <x v="12"/>
    <x v="593"/>
    <x v="27"/>
    <x v="591"/>
    <x v="0"/>
    <x v="2"/>
  </r>
  <r>
    <x v="21"/>
    <x v="595"/>
    <x v="0"/>
    <x v="0"/>
    <x v="3"/>
    <x v="12"/>
    <x v="592"/>
    <x v="5"/>
    <x v="594"/>
    <x v="28"/>
    <x v="592"/>
    <x v="0"/>
    <x v="1"/>
  </r>
  <r>
    <x v="144"/>
    <x v="596"/>
    <x v="2"/>
    <x v="3"/>
    <x v="1"/>
    <x v="16"/>
    <x v="593"/>
    <x v="5"/>
    <x v="595"/>
    <x v="7"/>
    <x v="593"/>
    <x v="1"/>
    <x v="0"/>
  </r>
  <r>
    <x v="301"/>
    <x v="597"/>
    <x v="2"/>
    <x v="2"/>
    <x v="1"/>
    <x v="16"/>
    <x v="594"/>
    <x v="4"/>
    <x v="596"/>
    <x v="17"/>
    <x v="594"/>
    <x v="3"/>
    <x v="1"/>
  </r>
  <r>
    <x v="57"/>
    <x v="598"/>
    <x v="1"/>
    <x v="2"/>
    <x v="1"/>
    <x v="2"/>
    <x v="595"/>
    <x v="5"/>
    <x v="597"/>
    <x v="27"/>
    <x v="595"/>
    <x v="1"/>
    <x v="0"/>
  </r>
  <r>
    <x v="251"/>
    <x v="599"/>
    <x v="2"/>
    <x v="0"/>
    <x v="0"/>
    <x v="7"/>
    <x v="596"/>
    <x v="14"/>
    <x v="598"/>
    <x v="12"/>
    <x v="596"/>
    <x v="0"/>
    <x v="1"/>
  </r>
  <r>
    <x v="302"/>
    <x v="600"/>
    <x v="2"/>
    <x v="0"/>
    <x v="0"/>
    <x v="0"/>
    <x v="597"/>
    <x v="6"/>
    <x v="599"/>
    <x v="27"/>
    <x v="597"/>
    <x v="2"/>
    <x v="2"/>
  </r>
  <r>
    <x v="210"/>
    <x v="601"/>
    <x v="2"/>
    <x v="2"/>
    <x v="3"/>
    <x v="14"/>
    <x v="598"/>
    <x v="7"/>
    <x v="600"/>
    <x v="0"/>
    <x v="598"/>
    <x v="0"/>
    <x v="1"/>
  </r>
  <r>
    <x v="117"/>
    <x v="602"/>
    <x v="0"/>
    <x v="1"/>
    <x v="2"/>
    <x v="4"/>
    <x v="599"/>
    <x v="9"/>
    <x v="601"/>
    <x v="1"/>
    <x v="599"/>
    <x v="1"/>
    <x v="0"/>
  </r>
  <r>
    <x v="251"/>
    <x v="603"/>
    <x v="1"/>
    <x v="0"/>
    <x v="1"/>
    <x v="2"/>
    <x v="600"/>
    <x v="12"/>
    <x v="602"/>
    <x v="11"/>
    <x v="600"/>
    <x v="3"/>
    <x v="1"/>
  </r>
  <r>
    <x v="259"/>
    <x v="604"/>
    <x v="3"/>
    <x v="0"/>
    <x v="3"/>
    <x v="12"/>
    <x v="601"/>
    <x v="1"/>
    <x v="603"/>
    <x v="1"/>
    <x v="601"/>
    <x v="1"/>
    <x v="2"/>
  </r>
  <r>
    <x v="223"/>
    <x v="605"/>
    <x v="0"/>
    <x v="2"/>
    <x v="1"/>
    <x v="3"/>
    <x v="602"/>
    <x v="13"/>
    <x v="604"/>
    <x v="13"/>
    <x v="602"/>
    <x v="3"/>
    <x v="1"/>
  </r>
  <r>
    <x v="237"/>
    <x v="606"/>
    <x v="3"/>
    <x v="2"/>
    <x v="3"/>
    <x v="12"/>
    <x v="603"/>
    <x v="12"/>
    <x v="605"/>
    <x v="23"/>
    <x v="603"/>
    <x v="0"/>
    <x v="2"/>
  </r>
  <r>
    <x v="267"/>
    <x v="607"/>
    <x v="2"/>
    <x v="4"/>
    <x v="1"/>
    <x v="2"/>
    <x v="604"/>
    <x v="9"/>
    <x v="606"/>
    <x v="13"/>
    <x v="604"/>
    <x v="0"/>
    <x v="1"/>
  </r>
  <r>
    <x v="123"/>
    <x v="608"/>
    <x v="1"/>
    <x v="0"/>
    <x v="3"/>
    <x v="9"/>
    <x v="605"/>
    <x v="8"/>
    <x v="607"/>
    <x v="15"/>
    <x v="605"/>
    <x v="0"/>
    <x v="2"/>
  </r>
  <r>
    <x v="246"/>
    <x v="609"/>
    <x v="2"/>
    <x v="2"/>
    <x v="1"/>
    <x v="16"/>
    <x v="606"/>
    <x v="6"/>
    <x v="608"/>
    <x v="24"/>
    <x v="606"/>
    <x v="3"/>
    <x v="0"/>
  </r>
  <r>
    <x v="244"/>
    <x v="610"/>
    <x v="3"/>
    <x v="0"/>
    <x v="2"/>
    <x v="11"/>
    <x v="607"/>
    <x v="12"/>
    <x v="609"/>
    <x v="3"/>
    <x v="607"/>
    <x v="0"/>
    <x v="0"/>
  </r>
  <r>
    <x v="185"/>
    <x v="611"/>
    <x v="1"/>
    <x v="0"/>
    <x v="0"/>
    <x v="0"/>
    <x v="608"/>
    <x v="2"/>
    <x v="610"/>
    <x v="2"/>
    <x v="608"/>
    <x v="1"/>
    <x v="1"/>
  </r>
  <r>
    <x v="74"/>
    <x v="612"/>
    <x v="0"/>
    <x v="1"/>
    <x v="3"/>
    <x v="12"/>
    <x v="609"/>
    <x v="11"/>
    <x v="611"/>
    <x v="8"/>
    <x v="609"/>
    <x v="3"/>
    <x v="2"/>
  </r>
  <r>
    <x v="156"/>
    <x v="613"/>
    <x v="1"/>
    <x v="0"/>
    <x v="0"/>
    <x v="13"/>
    <x v="610"/>
    <x v="10"/>
    <x v="612"/>
    <x v="18"/>
    <x v="610"/>
    <x v="3"/>
    <x v="2"/>
  </r>
  <r>
    <x v="217"/>
    <x v="614"/>
    <x v="2"/>
    <x v="4"/>
    <x v="1"/>
    <x v="2"/>
    <x v="611"/>
    <x v="0"/>
    <x v="613"/>
    <x v="1"/>
    <x v="611"/>
    <x v="2"/>
    <x v="2"/>
  </r>
  <r>
    <x v="303"/>
    <x v="615"/>
    <x v="1"/>
    <x v="2"/>
    <x v="3"/>
    <x v="15"/>
    <x v="612"/>
    <x v="2"/>
    <x v="614"/>
    <x v="17"/>
    <x v="612"/>
    <x v="0"/>
    <x v="1"/>
  </r>
  <r>
    <x v="42"/>
    <x v="616"/>
    <x v="0"/>
    <x v="1"/>
    <x v="2"/>
    <x v="11"/>
    <x v="613"/>
    <x v="6"/>
    <x v="615"/>
    <x v="29"/>
    <x v="613"/>
    <x v="1"/>
    <x v="0"/>
  </r>
  <r>
    <x v="112"/>
    <x v="617"/>
    <x v="0"/>
    <x v="1"/>
    <x v="1"/>
    <x v="5"/>
    <x v="614"/>
    <x v="8"/>
    <x v="616"/>
    <x v="18"/>
    <x v="614"/>
    <x v="0"/>
    <x v="2"/>
  </r>
  <r>
    <x v="175"/>
    <x v="618"/>
    <x v="0"/>
    <x v="4"/>
    <x v="3"/>
    <x v="15"/>
    <x v="615"/>
    <x v="9"/>
    <x v="617"/>
    <x v="9"/>
    <x v="615"/>
    <x v="1"/>
    <x v="2"/>
  </r>
  <r>
    <x v="204"/>
    <x v="619"/>
    <x v="1"/>
    <x v="4"/>
    <x v="0"/>
    <x v="18"/>
    <x v="616"/>
    <x v="9"/>
    <x v="618"/>
    <x v="18"/>
    <x v="616"/>
    <x v="2"/>
    <x v="0"/>
  </r>
  <r>
    <x v="68"/>
    <x v="620"/>
    <x v="3"/>
    <x v="0"/>
    <x v="3"/>
    <x v="10"/>
    <x v="617"/>
    <x v="12"/>
    <x v="619"/>
    <x v="1"/>
    <x v="617"/>
    <x v="2"/>
    <x v="2"/>
  </r>
  <r>
    <x v="290"/>
    <x v="621"/>
    <x v="2"/>
    <x v="2"/>
    <x v="1"/>
    <x v="16"/>
    <x v="618"/>
    <x v="11"/>
    <x v="620"/>
    <x v="8"/>
    <x v="618"/>
    <x v="3"/>
    <x v="1"/>
  </r>
  <r>
    <x v="86"/>
    <x v="622"/>
    <x v="3"/>
    <x v="4"/>
    <x v="0"/>
    <x v="7"/>
    <x v="619"/>
    <x v="6"/>
    <x v="621"/>
    <x v="24"/>
    <x v="619"/>
    <x v="0"/>
    <x v="2"/>
  </r>
  <r>
    <x v="159"/>
    <x v="623"/>
    <x v="2"/>
    <x v="4"/>
    <x v="0"/>
    <x v="7"/>
    <x v="620"/>
    <x v="9"/>
    <x v="622"/>
    <x v="21"/>
    <x v="620"/>
    <x v="1"/>
    <x v="0"/>
  </r>
  <r>
    <x v="123"/>
    <x v="624"/>
    <x v="0"/>
    <x v="1"/>
    <x v="2"/>
    <x v="11"/>
    <x v="621"/>
    <x v="7"/>
    <x v="623"/>
    <x v="13"/>
    <x v="621"/>
    <x v="1"/>
    <x v="1"/>
  </r>
  <r>
    <x v="281"/>
    <x v="625"/>
    <x v="0"/>
    <x v="2"/>
    <x v="3"/>
    <x v="12"/>
    <x v="622"/>
    <x v="6"/>
    <x v="624"/>
    <x v="10"/>
    <x v="622"/>
    <x v="0"/>
    <x v="2"/>
  </r>
  <r>
    <x v="137"/>
    <x v="626"/>
    <x v="1"/>
    <x v="1"/>
    <x v="0"/>
    <x v="18"/>
    <x v="623"/>
    <x v="14"/>
    <x v="625"/>
    <x v="1"/>
    <x v="623"/>
    <x v="3"/>
    <x v="0"/>
  </r>
  <r>
    <x v="116"/>
    <x v="627"/>
    <x v="2"/>
    <x v="1"/>
    <x v="1"/>
    <x v="1"/>
    <x v="624"/>
    <x v="6"/>
    <x v="626"/>
    <x v="23"/>
    <x v="624"/>
    <x v="1"/>
    <x v="1"/>
  </r>
  <r>
    <x v="304"/>
    <x v="628"/>
    <x v="2"/>
    <x v="0"/>
    <x v="3"/>
    <x v="10"/>
    <x v="625"/>
    <x v="13"/>
    <x v="627"/>
    <x v="17"/>
    <x v="625"/>
    <x v="0"/>
    <x v="1"/>
  </r>
  <r>
    <x v="93"/>
    <x v="629"/>
    <x v="2"/>
    <x v="2"/>
    <x v="1"/>
    <x v="2"/>
    <x v="626"/>
    <x v="7"/>
    <x v="628"/>
    <x v="20"/>
    <x v="626"/>
    <x v="0"/>
    <x v="0"/>
  </r>
  <r>
    <x v="93"/>
    <x v="630"/>
    <x v="2"/>
    <x v="2"/>
    <x v="3"/>
    <x v="15"/>
    <x v="627"/>
    <x v="6"/>
    <x v="629"/>
    <x v="5"/>
    <x v="627"/>
    <x v="1"/>
    <x v="2"/>
  </r>
  <r>
    <x v="129"/>
    <x v="631"/>
    <x v="3"/>
    <x v="3"/>
    <x v="2"/>
    <x v="6"/>
    <x v="628"/>
    <x v="0"/>
    <x v="630"/>
    <x v="27"/>
    <x v="628"/>
    <x v="0"/>
    <x v="0"/>
  </r>
  <r>
    <x v="245"/>
    <x v="632"/>
    <x v="2"/>
    <x v="1"/>
    <x v="3"/>
    <x v="14"/>
    <x v="629"/>
    <x v="7"/>
    <x v="631"/>
    <x v="7"/>
    <x v="629"/>
    <x v="3"/>
    <x v="1"/>
  </r>
  <r>
    <x v="11"/>
    <x v="633"/>
    <x v="1"/>
    <x v="4"/>
    <x v="1"/>
    <x v="1"/>
    <x v="630"/>
    <x v="14"/>
    <x v="632"/>
    <x v="20"/>
    <x v="630"/>
    <x v="3"/>
    <x v="1"/>
  </r>
  <r>
    <x v="109"/>
    <x v="634"/>
    <x v="0"/>
    <x v="4"/>
    <x v="0"/>
    <x v="19"/>
    <x v="631"/>
    <x v="8"/>
    <x v="633"/>
    <x v="6"/>
    <x v="631"/>
    <x v="1"/>
    <x v="2"/>
  </r>
  <r>
    <x v="305"/>
    <x v="635"/>
    <x v="0"/>
    <x v="0"/>
    <x v="2"/>
    <x v="6"/>
    <x v="632"/>
    <x v="9"/>
    <x v="634"/>
    <x v="13"/>
    <x v="632"/>
    <x v="3"/>
    <x v="1"/>
  </r>
  <r>
    <x v="306"/>
    <x v="636"/>
    <x v="1"/>
    <x v="0"/>
    <x v="2"/>
    <x v="17"/>
    <x v="633"/>
    <x v="10"/>
    <x v="635"/>
    <x v="11"/>
    <x v="633"/>
    <x v="0"/>
    <x v="2"/>
  </r>
  <r>
    <x v="214"/>
    <x v="637"/>
    <x v="3"/>
    <x v="1"/>
    <x v="2"/>
    <x v="8"/>
    <x v="634"/>
    <x v="3"/>
    <x v="636"/>
    <x v="29"/>
    <x v="634"/>
    <x v="0"/>
    <x v="2"/>
  </r>
  <r>
    <x v="289"/>
    <x v="638"/>
    <x v="2"/>
    <x v="3"/>
    <x v="2"/>
    <x v="6"/>
    <x v="635"/>
    <x v="14"/>
    <x v="637"/>
    <x v="4"/>
    <x v="635"/>
    <x v="1"/>
    <x v="2"/>
  </r>
  <r>
    <x v="23"/>
    <x v="639"/>
    <x v="2"/>
    <x v="1"/>
    <x v="0"/>
    <x v="7"/>
    <x v="636"/>
    <x v="3"/>
    <x v="638"/>
    <x v="28"/>
    <x v="636"/>
    <x v="1"/>
    <x v="2"/>
  </r>
  <r>
    <x v="84"/>
    <x v="640"/>
    <x v="0"/>
    <x v="1"/>
    <x v="2"/>
    <x v="17"/>
    <x v="637"/>
    <x v="5"/>
    <x v="639"/>
    <x v="12"/>
    <x v="637"/>
    <x v="3"/>
    <x v="0"/>
  </r>
  <r>
    <x v="307"/>
    <x v="641"/>
    <x v="3"/>
    <x v="2"/>
    <x v="2"/>
    <x v="8"/>
    <x v="638"/>
    <x v="2"/>
    <x v="640"/>
    <x v="30"/>
    <x v="638"/>
    <x v="1"/>
    <x v="2"/>
  </r>
  <r>
    <x v="143"/>
    <x v="642"/>
    <x v="2"/>
    <x v="1"/>
    <x v="2"/>
    <x v="4"/>
    <x v="639"/>
    <x v="8"/>
    <x v="641"/>
    <x v="24"/>
    <x v="639"/>
    <x v="3"/>
    <x v="0"/>
  </r>
  <r>
    <x v="29"/>
    <x v="643"/>
    <x v="2"/>
    <x v="0"/>
    <x v="3"/>
    <x v="15"/>
    <x v="640"/>
    <x v="3"/>
    <x v="642"/>
    <x v="11"/>
    <x v="640"/>
    <x v="3"/>
    <x v="0"/>
  </r>
  <r>
    <x v="197"/>
    <x v="644"/>
    <x v="3"/>
    <x v="4"/>
    <x v="1"/>
    <x v="16"/>
    <x v="641"/>
    <x v="13"/>
    <x v="643"/>
    <x v="26"/>
    <x v="641"/>
    <x v="3"/>
    <x v="2"/>
  </r>
  <r>
    <x v="94"/>
    <x v="645"/>
    <x v="3"/>
    <x v="1"/>
    <x v="0"/>
    <x v="7"/>
    <x v="642"/>
    <x v="2"/>
    <x v="644"/>
    <x v="29"/>
    <x v="642"/>
    <x v="0"/>
    <x v="0"/>
  </r>
  <r>
    <x v="8"/>
    <x v="646"/>
    <x v="1"/>
    <x v="3"/>
    <x v="2"/>
    <x v="11"/>
    <x v="643"/>
    <x v="11"/>
    <x v="645"/>
    <x v="8"/>
    <x v="643"/>
    <x v="3"/>
    <x v="2"/>
  </r>
  <r>
    <x v="41"/>
    <x v="647"/>
    <x v="2"/>
    <x v="2"/>
    <x v="1"/>
    <x v="3"/>
    <x v="644"/>
    <x v="10"/>
    <x v="646"/>
    <x v="20"/>
    <x v="644"/>
    <x v="0"/>
    <x v="2"/>
  </r>
  <r>
    <x v="92"/>
    <x v="648"/>
    <x v="0"/>
    <x v="0"/>
    <x v="0"/>
    <x v="13"/>
    <x v="645"/>
    <x v="4"/>
    <x v="647"/>
    <x v="9"/>
    <x v="645"/>
    <x v="1"/>
    <x v="2"/>
  </r>
  <r>
    <x v="289"/>
    <x v="649"/>
    <x v="3"/>
    <x v="3"/>
    <x v="2"/>
    <x v="4"/>
    <x v="646"/>
    <x v="14"/>
    <x v="648"/>
    <x v="15"/>
    <x v="646"/>
    <x v="0"/>
    <x v="0"/>
  </r>
  <r>
    <x v="246"/>
    <x v="650"/>
    <x v="1"/>
    <x v="4"/>
    <x v="2"/>
    <x v="6"/>
    <x v="647"/>
    <x v="6"/>
    <x v="649"/>
    <x v="8"/>
    <x v="647"/>
    <x v="3"/>
    <x v="0"/>
  </r>
  <r>
    <x v="218"/>
    <x v="651"/>
    <x v="1"/>
    <x v="1"/>
    <x v="2"/>
    <x v="11"/>
    <x v="648"/>
    <x v="9"/>
    <x v="650"/>
    <x v="7"/>
    <x v="648"/>
    <x v="1"/>
    <x v="2"/>
  </r>
  <r>
    <x v="280"/>
    <x v="652"/>
    <x v="3"/>
    <x v="4"/>
    <x v="0"/>
    <x v="0"/>
    <x v="649"/>
    <x v="13"/>
    <x v="651"/>
    <x v="26"/>
    <x v="649"/>
    <x v="3"/>
    <x v="1"/>
  </r>
  <r>
    <x v="235"/>
    <x v="653"/>
    <x v="3"/>
    <x v="3"/>
    <x v="2"/>
    <x v="6"/>
    <x v="650"/>
    <x v="9"/>
    <x v="652"/>
    <x v="10"/>
    <x v="650"/>
    <x v="3"/>
    <x v="0"/>
  </r>
  <r>
    <x v="140"/>
    <x v="654"/>
    <x v="0"/>
    <x v="3"/>
    <x v="2"/>
    <x v="17"/>
    <x v="651"/>
    <x v="6"/>
    <x v="653"/>
    <x v="15"/>
    <x v="651"/>
    <x v="3"/>
    <x v="0"/>
  </r>
  <r>
    <x v="68"/>
    <x v="655"/>
    <x v="3"/>
    <x v="1"/>
    <x v="0"/>
    <x v="0"/>
    <x v="652"/>
    <x v="8"/>
    <x v="654"/>
    <x v="8"/>
    <x v="652"/>
    <x v="2"/>
    <x v="0"/>
  </r>
  <r>
    <x v="308"/>
    <x v="656"/>
    <x v="3"/>
    <x v="4"/>
    <x v="0"/>
    <x v="18"/>
    <x v="653"/>
    <x v="9"/>
    <x v="655"/>
    <x v="23"/>
    <x v="653"/>
    <x v="2"/>
    <x v="2"/>
  </r>
  <r>
    <x v="113"/>
    <x v="657"/>
    <x v="3"/>
    <x v="0"/>
    <x v="2"/>
    <x v="8"/>
    <x v="654"/>
    <x v="7"/>
    <x v="656"/>
    <x v="4"/>
    <x v="654"/>
    <x v="2"/>
    <x v="1"/>
  </r>
  <r>
    <x v="263"/>
    <x v="658"/>
    <x v="2"/>
    <x v="0"/>
    <x v="0"/>
    <x v="13"/>
    <x v="655"/>
    <x v="0"/>
    <x v="657"/>
    <x v="23"/>
    <x v="655"/>
    <x v="3"/>
    <x v="2"/>
  </r>
  <r>
    <x v="126"/>
    <x v="659"/>
    <x v="3"/>
    <x v="2"/>
    <x v="3"/>
    <x v="14"/>
    <x v="656"/>
    <x v="6"/>
    <x v="658"/>
    <x v="13"/>
    <x v="656"/>
    <x v="0"/>
    <x v="1"/>
  </r>
  <r>
    <x v="50"/>
    <x v="660"/>
    <x v="1"/>
    <x v="3"/>
    <x v="0"/>
    <x v="18"/>
    <x v="657"/>
    <x v="1"/>
    <x v="659"/>
    <x v="26"/>
    <x v="657"/>
    <x v="3"/>
    <x v="2"/>
  </r>
  <r>
    <x v="219"/>
    <x v="661"/>
    <x v="0"/>
    <x v="1"/>
    <x v="3"/>
    <x v="12"/>
    <x v="658"/>
    <x v="10"/>
    <x v="660"/>
    <x v="8"/>
    <x v="658"/>
    <x v="0"/>
    <x v="0"/>
  </r>
  <r>
    <x v="96"/>
    <x v="662"/>
    <x v="3"/>
    <x v="4"/>
    <x v="2"/>
    <x v="11"/>
    <x v="659"/>
    <x v="13"/>
    <x v="661"/>
    <x v="8"/>
    <x v="659"/>
    <x v="0"/>
    <x v="2"/>
  </r>
  <r>
    <x v="309"/>
    <x v="663"/>
    <x v="0"/>
    <x v="1"/>
    <x v="1"/>
    <x v="3"/>
    <x v="660"/>
    <x v="1"/>
    <x v="662"/>
    <x v="2"/>
    <x v="660"/>
    <x v="1"/>
    <x v="2"/>
  </r>
  <r>
    <x v="282"/>
    <x v="664"/>
    <x v="0"/>
    <x v="3"/>
    <x v="1"/>
    <x v="5"/>
    <x v="661"/>
    <x v="5"/>
    <x v="663"/>
    <x v="9"/>
    <x v="661"/>
    <x v="3"/>
    <x v="2"/>
  </r>
  <r>
    <x v="90"/>
    <x v="665"/>
    <x v="1"/>
    <x v="3"/>
    <x v="1"/>
    <x v="1"/>
    <x v="662"/>
    <x v="0"/>
    <x v="664"/>
    <x v="17"/>
    <x v="662"/>
    <x v="3"/>
    <x v="0"/>
  </r>
  <r>
    <x v="310"/>
    <x v="666"/>
    <x v="1"/>
    <x v="3"/>
    <x v="1"/>
    <x v="2"/>
    <x v="663"/>
    <x v="3"/>
    <x v="665"/>
    <x v="4"/>
    <x v="663"/>
    <x v="2"/>
    <x v="0"/>
  </r>
  <r>
    <x v="128"/>
    <x v="667"/>
    <x v="2"/>
    <x v="3"/>
    <x v="1"/>
    <x v="1"/>
    <x v="664"/>
    <x v="10"/>
    <x v="666"/>
    <x v="16"/>
    <x v="664"/>
    <x v="2"/>
    <x v="2"/>
  </r>
  <r>
    <x v="95"/>
    <x v="668"/>
    <x v="0"/>
    <x v="0"/>
    <x v="0"/>
    <x v="7"/>
    <x v="665"/>
    <x v="7"/>
    <x v="667"/>
    <x v="2"/>
    <x v="665"/>
    <x v="2"/>
    <x v="1"/>
  </r>
  <r>
    <x v="244"/>
    <x v="669"/>
    <x v="2"/>
    <x v="4"/>
    <x v="1"/>
    <x v="5"/>
    <x v="666"/>
    <x v="14"/>
    <x v="668"/>
    <x v="24"/>
    <x v="666"/>
    <x v="3"/>
    <x v="2"/>
  </r>
  <r>
    <x v="10"/>
    <x v="670"/>
    <x v="1"/>
    <x v="0"/>
    <x v="0"/>
    <x v="19"/>
    <x v="667"/>
    <x v="5"/>
    <x v="669"/>
    <x v="29"/>
    <x v="667"/>
    <x v="3"/>
    <x v="0"/>
  </r>
  <r>
    <x v="203"/>
    <x v="671"/>
    <x v="3"/>
    <x v="1"/>
    <x v="2"/>
    <x v="17"/>
    <x v="668"/>
    <x v="4"/>
    <x v="670"/>
    <x v="14"/>
    <x v="668"/>
    <x v="0"/>
    <x v="2"/>
  </r>
  <r>
    <x v="118"/>
    <x v="672"/>
    <x v="0"/>
    <x v="2"/>
    <x v="3"/>
    <x v="9"/>
    <x v="669"/>
    <x v="4"/>
    <x v="671"/>
    <x v="3"/>
    <x v="669"/>
    <x v="3"/>
    <x v="2"/>
  </r>
  <r>
    <x v="286"/>
    <x v="673"/>
    <x v="1"/>
    <x v="0"/>
    <x v="3"/>
    <x v="9"/>
    <x v="670"/>
    <x v="3"/>
    <x v="672"/>
    <x v="6"/>
    <x v="670"/>
    <x v="3"/>
    <x v="1"/>
  </r>
  <r>
    <x v="118"/>
    <x v="674"/>
    <x v="3"/>
    <x v="3"/>
    <x v="1"/>
    <x v="16"/>
    <x v="671"/>
    <x v="5"/>
    <x v="673"/>
    <x v="10"/>
    <x v="671"/>
    <x v="1"/>
    <x v="1"/>
  </r>
  <r>
    <x v="162"/>
    <x v="675"/>
    <x v="3"/>
    <x v="1"/>
    <x v="1"/>
    <x v="5"/>
    <x v="672"/>
    <x v="9"/>
    <x v="674"/>
    <x v="7"/>
    <x v="672"/>
    <x v="3"/>
    <x v="0"/>
  </r>
  <r>
    <x v="21"/>
    <x v="676"/>
    <x v="1"/>
    <x v="1"/>
    <x v="2"/>
    <x v="8"/>
    <x v="673"/>
    <x v="10"/>
    <x v="675"/>
    <x v="0"/>
    <x v="673"/>
    <x v="0"/>
    <x v="1"/>
  </r>
  <r>
    <x v="311"/>
    <x v="677"/>
    <x v="2"/>
    <x v="1"/>
    <x v="3"/>
    <x v="14"/>
    <x v="674"/>
    <x v="7"/>
    <x v="676"/>
    <x v="9"/>
    <x v="674"/>
    <x v="2"/>
    <x v="0"/>
  </r>
  <r>
    <x v="12"/>
    <x v="678"/>
    <x v="0"/>
    <x v="0"/>
    <x v="3"/>
    <x v="12"/>
    <x v="675"/>
    <x v="11"/>
    <x v="677"/>
    <x v="8"/>
    <x v="675"/>
    <x v="0"/>
    <x v="0"/>
  </r>
  <r>
    <x v="278"/>
    <x v="679"/>
    <x v="1"/>
    <x v="2"/>
    <x v="2"/>
    <x v="4"/>
    <x v="676"/>
    <x v="12"/>
    <x v="678"/>
    <x v="5"/>
    <x v="676"/>
    <x v="2"/>
    <x v="2"/>
  </r>
  <r>
    <x v="252"/>
    <x v="680"/>
    <x v="3"/>
    <x v="4"/>
    <x v="2"/>
    <x v="8"/>
    <x v="677"/>
    <x v="9"/>
    <x v="679"/>
    <x v="17"/>
    <x v="677"/>
    <x v="2"/>
    <x v="0"/>
  </r>
  <r>
    <x v="215"/>
    <x v="681"/>
    <x v="0"/>
    <x v="4"/>
    <x v="1"/>
    <x v="5"/>
    <x v="678"/>
    <x v="3"/>
    <x v="680"/>
    <x v="27"/>
    <x v="678"/>
    <x v="0"/>
    <x v="0"/>
  </r>
  <r>
    <x v="220"/>
    <x v="682"/>
    <x v="3"/>
    <x v="0"/>
    <x v="2"/>
    <x v="6"/>
    <x v="679"/>
    <x v="9"/>
    <x v="681"/>
    <x v="4"/>
    <x v="679"/>
    <x v="2"/>
    <x v="1"/>
  </r>
  <r>
    <x v="43"/>
    <x v="683"/>
    <x v="3"/>
    <x v="0"/>
    <x v="0"/>
    <x v="19"/>
    <x v="680"/>
    <x v="1"/>
    <x v="682"/>
    <x v="0"/>
    <x v="680"/>
    <x v="3"/>
    <x v="2"/>
  </r>
  <r>
    <x v="224"/>
    <x v="684"/>
    <x v="3"/>
    <x v="2"/>
    <x v="0"/>
    <x v="7"/>
    <x v="681"/>
    <x v="2"/>
    <x v="683"/>
    <x v="29"/>
    <x v="681"/>
    <x v="3"/>
    <x v="0"/>
  </r>
  <r>
    <x v="312"/>
    <x v="685"/>
    <x v="0"/>
    <x v="2"/>
    <x v="3"/>
    <x v="10"/>
    <x v="682"/>
    <x v="9"/>
    <x v="684"/>
    <x v="5"/>
    <x v="682"/>
    <x v="1"/>
    <x v="2"/>
  </r>
  <r>
    <x v="236"/>
    <x v="686"/>
    <x v="1"/>
    <x v="4"/>
    <x v="0"/>
    <x v="19"/>
    <x v="683"/>
    <x v="13"/>
    <x v="685"/>
    <x v="15"/>
    <x v="683"/>
    <x v="0"/>
    <x v="0"/>
  </r>
  <r>
    <x v="130"/>
    <x v="687"/>
    <x v="3"/>
    <x v="4"/>
    <x v="0"/>
    <x v="18"/>
    <x v="684"/>
    <x v="5"/>
    <x v="686"/>
    <x v="14"/>
    <x v="684"/>
    <x v="1"/>
    <x v="0"/>
  </r>
  <r>
    <x v="59"/>
    <x v="688"/>
    <x v="3"/>
    <x v="4"/>
    <x v="0"/>
    <x v="19"/>
    <x v="685"/>
    <x v="4"/>
    <x v="687"/>
    <x v="16"/>
    <x v="685"/>
    <x v="0"/>
    <x v="2"/>
  </r>
  <r>
    <x v="9"/>
    <x v="689"/>
    <x v="1"/>
    <x v="4"/>
    <x v="3"/>
    <x v="9"/>
    <x v="686"/>
    <x v="2"/>
    <x v="688"/>
    <x v="2"/>
    <x v="686"/>
    <x v="1"/>
    <x v="1"/>
  </r>
  <r>
    <x v="281"/>
    <x v="690"/>
    <x v="1"/>
    <x v="0"/>
    <x v="1"/>
    <x v="2"/>
    <x v="687"/>
    <x v="11"/>
    <x v="689"/>
    <x v="22"/>
    <x v="687"/>
    <x v="3"/>
    <x v="2"/>
  </r>
  <r>
    <x v="199"/>
    <x v="691"/>
    <x v="2"/>
    <x v="0"/>
    <x v="2"/>
    <x v="17"/>
    <x v="688"/>
    <x v="6"/>
    <x v="690"/>
    <x v="5"/>
    <x v="688"/>
    <x v="0"/>
    <x v="1"/>
  </r>
  <r>
    <x v="146"/>
    <x v="692"/>
    <x v="0"/>
    <x v="4"/>
    <x v="1"/>
    <x v="1"/>
    <x v="689"/>
    <x v="1"/>
    <x v="691"/>
    <x v="18"/>
    <x v="689"/>
    <x v="3"/>
    <x v="0"/>
  </r>
  <r>
    <x v="184"/>
    <x v="693"/>
    <x v="1"/>
    <x v="0"/>
    <x v="1"/>
    <x v="1"/>
    <x v="690"/>
    <x v="13"/>
    <x v="692"/>
    <x v="8"/>
    <x v="690"/>
    <x v="0"/>
    <x v="2"/>
  </r>
  <r>
    <x v="208"/>
    <x v="694"/>
    <x v="2"/>
    <x v="1"/>
    <x v="3"/>
    <x v="10"/>
    <x v="691"/>
    <x v="11"/>
    <x v="693"/>
    <x v="11"/>
    <x v="691"/>
    <x v="2"/>
    <x v="2"/>
  </r>
  <r>
    <x v="102"/>
    <x v="695"/>
    <x v="3"/>
    <x v="3"/>
    <x v="3"/>
    <x v="9"/>
    <x v="692"/>
    <x v="14"/>
    <x v="694"/>
    <x v="1"/>
    <x v="692"/>
    <x v="2"/>
    <x v="2"/>
  </r>
  <r>
    <x v="313"/>
    <x v="696"/>
    <x v="1"/>
    <x v="3"/>
    <x v="1"/>
    <x v="3"/>
    <x v="693"/>
    <x v="12"/>
    <x v="695"/>
    <x v="6"/>
    <x v="693"/>
    <x v="2"/>
    <x v="1"/>
  </r>
  <r>
    <x v="314"/>
    <x v="697"/>
    <x v="1"/>
    <x v="0"/>
    <x v="0"/>
    <x v="0"/>
    <x v="694"/>
    <x v="4"/>
    <x v="696"/>
    <x v="24"/>
    <x v="694"/>
    <x v="1"/>
    <x v="1"/>
  </r>
  <r>
    <x v="216"/>
    <x v="698"/>
    <x v="2"/>
    <x v="4"/>
    <x v="2"/>
    <x v="17"/>
    <x v="695"/>
    <x v="6"/>
    <x v="697"/>
    <x v="9"/>
    <x v="695"/>
    <x v="1"/>
    <x v="0"/>
  </r>
  <r>
    <x v="315"/>
    <x v="699"/>
    <x v="2"/>
    <x v="0"/>
    <x v="1"/>
    <x v="3"/>
    <x v="696"/>
    <x v="7"/>
    <x v="698"/>
    <x v="23"/>
    <x v="696"/>
    <x v="3"/>
    <x v="0"/>
  </r>
  <r>
    <x v="234"/>
    <x v="700"/>
    <x v="0"/>
    <x v="2"/>
    <x v="3"/>
    <x v="15"/>
    <x v="697"/>
    <x v="9"/>
    <x v="699"/>
    <x v="21"/>
    <x v="697"/>
    <x v="0"/>
    <x v="1"/>
  </r>
  <r>
    <x v="68"/>
    <x v="701"/>
    <x v="1"/>
    <x v="4"/>
    <x v="1"/>
    <x v="1"/>
    <x v="698"/>
    <x v="6"/>
    <x v="700"/>
    <x v="29"/>
    <x v="698"/>
    <x v="2"/>
    <x v="1"/>
  </r>
  <r>
    <x v="159"/>
    <x v="702"/>
    <x v="0"/>
    <x v="1"/>
    <x v="1"/>
    <x v="3"/>
    <x v="699"/>
    <x v="14"/>
    <x v="701"/>
    <x v="12"/>
    <x v="699"/>
    <x v="3"/>
    <x v="2"/>
  </r>
  <r>
    <x v="11"/>
    <x v="703"/>
    <x v="1"/>
    <x v="4"/>
    <x v="1"/>
    <x v="1"/>
    <x v="700"/>
    <x v="1"/>
    <x v="702"/>
    <x v="10"/>
    <x v="700"/>
    <x v="1"/>
    <x v="2"/>
  </r>
  <r>
    <x v="252"/>
    <x v="704"/>
    <x v="1"/>
    <x v="0"/>
    <x v="3"/>
    <x v="14"/>
    <x v="701"/>
    <x v="3"/>
    <x v="703"/>
    <x v="9"/>
    <x v="701"/>
    <x v="3"/>
    <x v="0"/>
  </r>
  <r>
    <x v="183"/>
    <x v="705"/>
    <x v="1"/>
    <x v="4"/>
    <x v="1"/>
    <x v="5"/>
    <x v="702"/>
    <x v="1"/>
    <x v="704"/>
    <x v="25"/>
    <x v="702"/>
    <x v="1"/>
    <x v="0"/>
  </r>
  <r>
    <x v="104"/>
    <x v="706"/>
    <x v="0"/>
    <x v="4"/>
    <x v="2"/>
    <x v="6"/>
    <x v="703"/>
    <x v="3"/>
    <x v="705"/>
    <x v="1"/>
    <x v="703"/>
    <x v="3"/>
    <x v="2"/>
  </r>
  <r>
    <x v="21"/>
    <x v="707"/>
    <x v="0"/>
    <x v="0"/>
    <x v="2"/>
    <x v="17"/>
    <x v="704"/>
    <x v="1"/>
    <x v="706"/>
    <x v="5"/>
    <x v="704"/>
    <x v="3"/>
    <x v="1"/>
  </r>
  <r>
    <x v="134"/>
    <x v="708"/>
    <x v="3"/>
    <x v="1"/>
    <x v="2"/>
    <x v="6"/>
    <x v="705"/>
    <x v="6"/>
    <x v="707"/>
    <x v="7"/>
    <x v="705"/>
    <x v="1"/>
    <x v="0"/>
  </r>
  <r>
    <x v="93"/>
    <x v="709"/>
    <x v="1"/>
    <x v="1"/>
    <x v="1"/>
    <x v="16"/>
    <x v="706"/>
    <x v="0"/>
    <x v="708"/>
    <x v="18"/>
    <x v="706"/>
    <x v="0"/>
    <x v="1"/>
  </r>
  <r>
    <x v="147"/>
    <x v="710"/>
    <x v="3"/>
    <x v="0"/>
    <x v="1"/>
    <x v="1"/>
    <x v="707"/>
    <x v="2"/>
    <x v="709"/>
    <x v="16"/>
    <x v="707"/>
    <x v="0"/>
    <x v="2"/>
  </r>
  <r>
    <x v="71"/>
    <x v="711"/>
    <x v="0"/>
    <x v="4"/>
    <x v="2"/>
    <x v="17"/>
    <x v="708"/>
    <x v="5"/>
    <x v="710"/>
    <x v="21"/>
    <x v="708"/>
    <x v="3"/>
    <x v="1"/>
  </r>
  <r>
    <x v="9"/>
    <x v="712"/>
    <x v="1"/>
    <x v="4"/>
    <x v="0"/>
    <x v="19"/>
    <x v="709"/>
    <x v="3"/>
    <x v="711"/>
    <x v="16"/>
    <x v="709"/>
    <x v="3"/>
    <x v="1"/>
  </r>
  <r>
    <x v="54"/>
    <x v="713"/>
    <x v="1"/>
    <x v="1"/>
    <x v="3"/>
    <x v="12"/>
    <x v="710"/>
    <x v="3"/>
    <x v="712"/>
    <x v="2"/>
    <x v="710"/>
    <x v="1"/>
    <x v="1"/>
  </r>
  <r>
    <x v="52"/>
    <x v="714"/>
    <x v="2"/>
    <x v="3"/>
    <x v="0"/>
    <x v="0"/>
    <x v="711"/>
    <x v="13"/>
    <x v="713"/>
    <x v="15"/>
    <x v="711"/>
    <x v="1"/>
    <x v="2"/>
  </r>
  <r>
    <x v="296"/>
    <x v="715"/>
    <x v="3"/>
    <x v="1"/>
    <x v="1"/>
    <x v="5"/>
    <x v="712"/>
    <x v="13"/>
    <x v="714"/>
    <x v="13"/>
    <x v="712"/>
    <x v="3"/>
    <x v="0"/>
  </r>
  <r>
    <x v="210"/>
    <x v="716"/>
    <x v="3"/>
    <x v="0"/>
    <x v="1"/>
    <x v="5"/>
    <x v="713"/>
    <x v="4"/>
    <x v="715"/>
    <x v="10"/>
    <x v="713"/>
    <x v="2"/>
    <x v="2"/>
  </r>
  <r>
    <x v="59"/>
    <x v="717"/>
    <x v="3"/>
    <x v="2"/>
    <x v="2"/>
    <x v="6"/>
    <x v="714"/>
    <x v="11"/>
    <x v="716"/>
    <x v="8"/>
    <x v="714"/>
    <x v="2"/>
    <x v="0"/>
  </r>
  <r>
    <x v="115"/>
    <x v="718"/>
    <x v="0"/>
    <x v="0"/>
    <x v="3"/>
    <x v="14"/>
    <x v="715"/>
    <x v="10"/>
    <x v="717"/>
    <x v="4"/>
    <x v="715"/>
    <x v="0"/>
    <x v="2"/>
  </r>
  <r>
    <x v="248"/>
    <x v="719"/>
    <x v="1"/>
    <x v="2"/>
    <x v="0"/>
    <x v="19"/>
    <x v="716"/>
    <x v="12"/>
    <x v="718"/>
    <x v="8"/>
    <x v="716"/>
    <x v="0"/>
    <x v="2"/>
  </r>
  <r>
    <x v="29"/>
    <x v="720"/>
    <x v="3"/>
    <x v="0"/>
    <x v="0"/>
    <x v="0"/>
    <x v="717"/>
    <x v="10"/>
    <x v="719"/>
    <x v="0"/>
    <x v="717"/>
    <x v="1"/>
    <x v="2"/>
  </r>
  <r>
    <x v="5"/>
    <x v="721"/>
    <x v="1"/>
    <x v="2"/>
    <x v="2"/>
    <x v="17"/>
    <x v="718"/>
    <x v="10"/>
    <x v="720"/>
    <x v="10"/>
    <x v="718"/>
    <x v="1"/>
    <x v="0"/>
  </r>
  <r>
    <x v="160"/>
    <x v="722"/>
    <x v="2"/>
    <x v="3"/>
    <x v="2"/>
    <x v="8"/>
    <x v="719"/>
    <x v="4"/>
    <x v="721"/>
    <x v="8"/>
    <x v="719"/>
    <x v="1"/>
    <x v="0"/>
  </r>
  <r>
    <x v="77"/>
    <x v="723"/>
    <x v="1"/>
    <x v="1"/>
    <x v="0"/>
    <x v="18"/>
    <x v="720"/>
    <x v="10"/>
    <x v="722"/>
    <x v="12"/>
    <x v="720"/>
    <x v="0"/>
    <x v="2"/>
  </r>
  <r>
    <x v="316"/>
    <x v="724"/>
    <x v="0"/>
    <x v="1"/>
    <x v="0"/>
    <x v="7"/>
    <x v="721"/>
    <x v="13"/>
    <x v="723"/>
    <x v="6"/>
    <x v="721"/>
    <x v="1"/>
    <x v="2"/>
  </r>
  <r>
    <x v="21"/>
    <x v="725"/>
    <x v="2"/>
    <x v="3"/>
    <x v="1"/>
    <x v="3"/>
    <x v="722"/>
    <x v="6"/>
    <x v="724"/>
    <x v="1"/>
    <x v="722"/>
    <x v="0"/>
    <x v="1"/>
  </r>
  <r>
    <x v="67"/>
    <x v="726"/>
    <x v="1"/>
    <x v="1"/>
    <x v="1"/>
    <x v="1"/>
    <x v="723"/>
    <x v="9"/>
    <x v="725"/>
    <x v="19"/>
    <x v="723"/>
    <x v="2"/>
    <x v="1"/>
  </r>
  <r>
    <x v="317"/>
    <x v="727"/>
    <x v="2"/>
    <x v="0"/>
    <x v="2"/>
    <x v="11"/>
    <x v="724"/>
    <x v="12"/>
    <x v="726"/>
    <x v="26"/>
    <x v="724"/>
    <x v="0"/>
    <x v="1"/>
  </r>
  <r>
    <x v="170"/>
    <x v="728"/>
    <x v="1"/>
    <x v="0"/>
    <x v="2"/>
    <x v="11"/>
    <x v="101"/>
    <x v="4"/>
    <x v="727"/>
    <x v="20"/>
    <x v="725"/>
    <x v="3"/>
    <x v="0"/>
  </r>
  <r>
    <x v="318"/>
    <x v="729"/>
    <x v="2"/>
    <x v="3"/>
    <x v="1"/>
    <x v="3"/>
    <x v="725"/>
    <x v="4"/>
    <x v="728"/>
    <x v="27"/>
    <x v="726"/>
    <x v="2"/>
    <x v="2"/>
  </r>
  <r>
    <x v="152"/>
    <x v="730"/>
    <x v="3"/>
    <x v="4"/>
    <x v="1"/>
    <x v="1"/>
    <x v="726"/>
    <x v="1"/>
    <x v="729"/>
    <x v="10"/>
    <x v="727"/>
    <x v="1"/>
    <x v="1"/>
  </r>
  <r>
    <x v="153"/>
    <x v="731"/>
    <x v="0"/>
    <x v="2"/>
    <x v="3"/>
    <x v="10"/>
    <x v="727"/>
    <x v="11"/>
    <x v="730"/>
    <x v="1"/>
    <x v="728"/>
    <x v="2"/>
    <x v="0"/>
  </r>
  <r>
    <x v="283"/>
    <x v="732"/>
    <x v="0"/>
    <x v="0"/>
    <x v="2"/>
    <x v="4"/>
    <x v="728"/>
    <x v="5"/>
    <x v="731"/>
    <x v="17"/>
    <x v="729"/>
    <x v="0"/>
    <x v="1"/>
  </r>
  <r>
    <x v="196"/>
    <x v="733"/>
    <x v="0"/>
    <x v="1"/>
    <x v="2"/>
    <x v="11"/>
    <x v="729"/>
    <x v="6"/>
    <x v="732"/>
    <x v="24"/>
    <x v="730"/>
    <x v="0"/>
    <x v="0"/>
  </r>
  <r>
    <x v="182"/>
    <x v="734"/>
    <x v="0"/>
    <x v="3"/>
    <x v="3"/>
    <x v="15"/>
    <x v="730"/>
    <x v="0"/>
    <x v="733"/>
    <x v="25"/>
    <x v="546"/>
    <x v="1"/>
    <x v="0"/>
  </r>
  <r>
    <x v="306"/>
    <x v="735"/>
    <x v="2"/>
    <x v="0"/>
    <x v="0"/>
    <x v="13"/>
    <x v="731"/>
    <x v="2"/>
    <x v="734"/>
    <x v="22"/>
    <x v="731"/>
    <x v="3"/>
    <x v="2"/>
  </r>
  <r>
    <x v="319"/>
    <x v="736"/>
    <x v="3"/>
    <x v="0"/>
    <x v="2"/>
    <x v="6"/>
    <x v="732"/>
    <x v="13"/>
    <x v="735"/>
    <x v="30"/>
    <x v="732"/>
    <x v="1"/>
    <x v="1"/>
  </r>
  <r>
    <x v="236"/>
    <x v="737"/>
    <x v="2"/>
    <x v="0"/>
    <x v="1"/>
    <x v="5"/>
    <x v="733"/>
    <x v="9"/>
    <x v="736"/>
    <x v="2"/>
    <x v="733"/>
    <x v="0"/>
    <x v="0"/>
  </r>
  <r>
    <x v="203"/>
    <x v="738"/>
    <x v="3"/>
    <x v="1"/>
    <x v="3"/>
    <x v="10"/>
    <x v="734"/>
    <x v="4"/>
    <x v="737"/>
    <x v="24"/>
    <x v="734"/>
    <x v="0"/>
    <x v="2"/>
  </r>
  <r>
    <x v="8"/>
    <x v="739"/>
    <x v="1"/>
    <x v="4"/>
    <x v="0"/>
    <x v="19"/>
    <x v="735"/>
    <x v="14"/>
    <x v="738"/>
    <x v="6"/>
    <x v="735"/>
    <x v="1"/>
    <x v="0"/>
  </r>
  <r>
    <x v="136"/>
    <x v="740"/>
    <x v="1"/>
    <x v="3"/>
    <x v="1"/>
    <x v="16"/>
    <x v="736"/>
    <x v="5"/>
    <x v="739"/>
    <x v="20"/>
    <x v="736"/>
    <x v="2"/>
    <x v="1"/>
  </r>
  <r>
    <x v="259"/>
    <x v="741"/>
    <x v="2"/>
    <x v="0"/>
    <x v="3"/>
    <x v="12"/>
    <x v="737"/>
    <x v="5"/>
    <x v="740"/>
    <x v="14"/>
    <x v="737"/>
    <x v="0"/>
    <x v="2"/>
  </r>
  <r>
    <x v="99"/>
    <x v="742"/>
    <x v="2"/>
    <x v="3"/>
    <x v="0"/>
    <x v="13"/>
    <x v="738"/>
    <x v="1"/>
    <x v="741"/>
    <x v="8"/>
    <x v="738"/>
    <x v="2"/>
    <x v="2"/>
  </r>
  <r>
    <x v="320"/>
    <x v="743"/>
    <x v="0"/>
    <x v="0"/>
    <x v="3"/>
    <x v="15"/>
    <x v="739"/>
    <x v="8"/>
    <x v="742"/>
    <x v="29"/>
    <x v="739"/>
    <x v="2"/>
    <x v="2"/>
  </r>
  <r>
    <x v="229"/>
    <x v="744"/>
    <x v="1"/>
    <x v="3"/>
    <x v="3"/>
    <x v="12"/>
    <x v="740"/>
    <x v="5"/>
    <x v="743"/>
    <x v="5"/>
    <x v="740"/>
    <x v="3"/>
    <x v="2"/>
  </r>
  <r>
    <x v="104"/>
    <x v="745"/>
    <x v="3"/>
    <x v="3"/>
    <x v="0"/>
    <x v="18"/>
    <x v="741"/>
    <x v="0"/>
    <x v="744"/>
    <x v="19"/>
    <x v="741"/>
    <x v="1"/>
    <x v="0"/>
  </r>
  <r>
    <x v="316"/>
    <x v="746"/>
    <x v="1"/>
    <x v="0"/>
    <x v="3"/>
    <x v="15"/>
    <x v="742"/>
    <x v="13"/>
    <x v="745"/>
    <x v="27"/>
    <x v="742"/>
    <x v="0"/>
    <x v="1"/>
  </r>
  <r>
    <x v="18"/>
    <x v="747"/>
    <x v="3"/>
    <x v="4"/>
    <x v="3"/>
    <x v="14"/>
    <x v="743"/>
    <x v="9"/>
    <x v="746"/>
    <x v="7"/>
    <x v="743"/>
    <x v="1"/>
    <x v="1"/>
  </r>
  <r>
    <x v="321"/>
    <x v="748"/>
    <x v="1"/>
    <x v="0"/>
    <x v="0"/>
    <x v="18"/>
    <x v="744"/>
    <x v="5"/>
    <x v="747"/>
    <x v="24"/>
    <x v="744"/>
    <x v="1"/>
    <x v="1"/>
  </r>
  <r>
    <x v="123"/>
    <x v="749"/>
    <x v="2"/>
    <x v="4"/>
    <x v="2"/>
    <x v="11"/>
    <x v="745"/>
    <x v="13"/>
    <x v="748"/>
    <x v="7"/>
    <x v="745"/>
    <x v="1"/>
    <x v="0"/>
  </r>
  <r>
    <x v="297"/>
    <x v="750"/>
    <x v="1"/>
    <x v="3"/>
    <x v="3"/>
    <x v="10"/>
    <x v="746"/>
    <x v="2"/>
    <x v="749"/>
    <x v="22"/>
    <x v="746"/>
    <x v="3"/>
    <x v="1"/>
  </r>
  <r>
    <x v="255"/>
    <x v="751"/>
    <x v="1"/>
    <x v="1"/>
    <x v="2"/>
    <x v="8"/>
    <x v="747"/>
    <x v="12"/>
    <x v="750"/>
    <x v="13"/>
    <x v="747"/>
    <x v="0"/>
    <x v="1"/>
  </r>
  <r>
    <x v="30"/>
    <x v="752"/>
    <x v="2"/>
    <x v="3"/>
    <x v="0"/>
    <x v="18"/>
    <x v="748"/>
    <x v="13"/>
    <x v="751"/>
    <x v="20"/>
    <x v="490"/>
    <x v="0"/>
    <x v="2"/>
  </r>
  <r>
    <x v="89"/>
    <x v="753"/>
    <x v="1"/>
    <x v="3"/>
    <x v="2"/>
    <x v="8"/>
    <x v="749"/>
    <x v="9"/>
    <x v="752"/>
    <x v="7"/>
    <x v="748"/>
    <x v="2"/>
    <x v="2"/>
  </r>
  <r>
    <x v="319"/>
    <x v="754"/>
    <x v="1"/>
    <x v="4"/>
    <x v="2"/>
    <x v="8"/>
    <x v="750"/>
    <x v="8"/>
    <x v="753"/>
    <x v="17"/>
    <x v="749"/>
    <x v="3"/>
    <x v="1"/>
  </r>
  <r>
    <x v="234"/>
    <x v="755"/>
    <x v="1"/>
    <x v="4"/>
    <x v="1"/>
    <x v="2"/>
    <x v="751"/>
    <x v="5"/>
    <x v="754"/>
    <x v="30"/>
    <x v="750"/>
    <x v="0"/>
    <x v="0"/>
  </r>
  <r>
    <x v="102"/>
    <x v="756"/>
    <x v="3"/>
    <x v="2"/>
    <x v="0"/>
    <x v="7"/>
    <x v="752"/>
    <x v="7"/>
    <x v="755"/>
    <x v="24"/>
    <x v="731"/>
    <x v="2"/>
    <x v="0"/>
  </r>
  <r>
    <x v="110"/>
    <x v="757"/>
    <x v="1"/>
    <x v="2"/>
    <x v="1"/>
    <x v="16"/>
    <x v="753"/>
    <x v="10"/>
    <x v="756"/>
    <x v="12"/>
    <x v="751"/>
    <x v="3"/>
    <x v="0"/>
  </r>
  <r>
    <x v="320"/>
    <x v="758"/>
    <x v="2"/>
    <x v="2"/>
    <x v="3"/>
    <x v="15"/>
    <x v="754"/>
    <x v="1"/>
    <x v="757"/>
    <x v="23"/>
    <x v="752"/>
    <x v="0"/>
    <x v="2"/>
  </r>
  <r>
    <x v="176"/>
    <x v="759"/>
    <x v="3"/>
    <x v="0"/>
    <x v="1"/>
    <x v="2"/>
    <x v="755"/>
    <x v="7"/>
    <x v="758"/>
    <x v="2"/>
    <x v="753"/>
    <x v="1"/>
    <x v="1"/>
  </r>
  <r>
    <x v="39"/>
    <x v="760"/>
    <x v="2"/>
    <x v="3"/>
    <x v="0"/>
    <x v="19"/>
    <x v="756"/>
    <x v="13"/>
    <x v="759"/>
    <x v="16"/>
    <x v="754"/>
    <x v="0"/>
    <x v="2"/>
  </r>
  <r>
    <x v="212"/>
    <x v="761"/>
    <x v="0"/>
    <x v="2"/>
    <x v="0"/>
    <x v="0"/>
    <x v="757"/>
    <x v="1"/>
    <x v="760"/>
    <x v="5"/>
    <x v="755"/>
    <x v="3"/>
    <x v="1"/>
  </r>
  <r>
    <x v="208"/>
    <x v="762"/>
    <x v="2"/>
    <x v="1"/>
    <x v="2"/>
    <x v="8"/>
    <x v="758"/>
    <x v="4"/>
    <x v="761"/>
    <x v="20"/>
    <x v="756"/>
    <x v="1"/>
    <x v="0"/>
  </r>
  <r>
    <x v="112"/>
    <x v="763"/>
    <x v="3"/>
    <x v="0"/>
    <x v="2"/>
    <x v="11"/>
    <x v="759"/>
    <x v="10"/>
    <x v="762"/>
    <x v="29"/>
    <x v="757"/>
    <x v="1"/>
    <x v="2"/>
  </r>
  <r>
    <x v="322"/>
    <x v="764"/>
    <x v="1"/>
    <x v="4"/>
    <x v="1"/>
    <x v="1"/>
    <x v="760"/>
    <x v="11"/>
    <x v="763"/>
    <x v="18"/>
    <x v="758"/>
    <x v="0"/>
    <x v="2"/>
  </r>
  <r>
    <x v="188"/>
    <x v="765"/>
    <x v="3"/>
    <x v="2"/>
    <x v="1"/>
    <x v="3"/>
    <x v="761"/>
    <x v="0"/>
    <x v="764"/>
    <x v="22"/>
    <x v="759"/>
    <x v="3"/>
    <x v="2"/>
  </r>
  <r>
    <x v="323"/>
    <x v="766"/>
    <x v="1"/>
    <x v="4"/>
    <x v="3"/>
    <x v="14"/>
    <x v="762"/>
    <x v="0"/>
    <x v="765"/>
    <x v="6"/>
    <x v="760"/>
    <x v="3"/>
    <x v="1"/>
  </r>
  <r>
    <x v="69"/>
    <x v="767"/>
    <x v="1"/>
    <x v="2"/>
    <x v="1"/>
    <x v="16"/>
    <x v="763"/>
    <x v="4"/>
    <x v="766"/>
    <x v="2"/>
    <x v="761"/>
    <x v="2"/>
    <x v="1"/>
  </r>
  <r>
    <x v="123"/>
    <x v="768"/>
    <x v="1"/>
    <x v="0"/>
    <x v="1"/>
    <x v="3"/>
    <x v="764"/>
    <x v="0"/>
    <x v="767"/>
    <x v="7"/>
    <x v="762"/>
    <x v="0"/>
    <x v="2"/>
  </r>
  <r>
    <x v="213"/>
    <x v="769"/>
    <x v="0"/>
    <x v="2"/>
    <x v="0"/>
    <x v="13"/>
    <x v="765"/>
    <x v="0"/>
    <x v="768"/>
    <x v="29"/>
    <x v="763"/>
    <x v="3"/>
    <x v="1"/>
  </r>
  <r>
    <x v="261"/>
    <x v="770"/>
    <x v="3"/>
    <x v="3"/>
    <x v="2"/>
    <x v="4"/>
    <x v="766"/>
    <x v="0"/>
    <x v="769"/>
    <x v="13"/>
    <x v="764"/>
    <x v="1"/>
    <x v="2"/>
  </r>
  <r>
    <x v="138"/>
    <x v="771"/>
    <x v="1"/>
    <x v="0"/>
    <x v="1"/>
    <x v="2"/>
    <x v="338"/>
    <x v="3"/>
    <x v="770"/>
    <x v="29"/>
    <x v="765"/>
    <x v="1"/>
    <x v="2"/>
  </r>
  <r>
    <x v="265"/>
    <x v="772"/>
    <x v="1"/>
    <x v="1"/>
    <x v="0"/>
    <x v="0"/>
    <x v="767"/>
    <x v="3"/>
    <x v="771"/>
    <x v="8"/>
    <x v="766"/>
    <x v="0"/>
    <x v="2"/>
  </r>
  <r>
    <x v="130"/>
    <x v="773"/>
    <x v="3"/>
    <x v="4"/>
    <x v="2"/>
    <x v="11"/>
    <x v="768"/>
    <x v="4"/>
    <x v="772"/>
    <x v="15"/>
    <x v="767"/>
    <x v="0"/>
    <x v="2"/>
  </r>
  <r>
    <x v="301"/>
    <x v="774"/>
    <x v="2"/>
    <x v="3"/>
    <x v="1"/>
    <x v="5"/>
    <x v="769"/>
    <x v="9"/>
    <x v="773"/>
    <x v="12"/>
    <x v="768"/>
    <x v="2"/>
    <x v="0"/>
  </r>
  <r>
    <x v="276"/>
    <x v="775"/>
    <x v="0"/>
    <x v="2"/>
    <x v="0"/>
    <x v="13"/>
    <x v="770"/>
    <x v="0"/>
    <x v="774"/>
    <x v="1"/>
    <x v="769"/>
    <x v="3"/>
    <x v="2"/>
  </r>
  <r>
    <x v="269"/>
    <x v="776"/>
    <x v="0"/>
    <x v="2"/>
    <x v="0"/>
    <x v="0"/>
    <x v="771"/>
    <x v="0"/>
    <x v="775"/>
    <x v="8"/>
    <x v="770"/>
    <x v="3"/>
    <x v="1"/>
  </r>
  <r>
    <x v="267"/>
    <x v="777"/>
    <x v="2"/>
    <x v="1"/>
    <x v="3"/>
    <x v="15"/>
    <x v="772"/>
    <x v="8"/>
    <x v="776"/>
    <x v="27"/>
    <x v="771"/>
    <x v="0"/>
    <x v="2"/>
  </r>
  <r>
    <x v="252"/>
    <x v="778"/>
    <x v="0"/>
    <x v="4"/>
    <x v="0"/>
    <x v="13"/>
    <x v="773"/>
    <x v="9"/>
    <x v="777"/>
    <x v="4"/>
    <x v="772"/>
    <x v="0"/>
    <x v="1"/>
  </r>
  <r>
    <x v="171"/>
    <x v="779"/>
    <x v="0"/>
    <x v="4"/>
    <x v="3"/>
    <x v="10"/>
    <x v="774"/>
    <x v="5"/>
    <x v="778"/>
    <x v="26"/>
    <x v="773"/>
    <x v="3"/>
    <x v="2"/>
  </r>
  <r>
    <x v="26"/>
    <x v="780"/>
    <x v="0"/>
    <x v="2"/>
    <x v="1"/>
    <x v="16"/>
    <x v="775"/>
    <x v="13"/>
    <x v="779"/>
    <x v="25"/>
    <x v="774"/>
    <x v="3"/>
    <x v="0"/>
  </r>
  <r>
    <x v="145"/>
    <x v="781"/>
    <x v="3"/>
    <x v="1"/>
    <x v="2"/>
    <x v="4"/>
    <x v="776"/>
    <x v="9"/>
    <x v="780"/>
    <x v="14"/>
    <x v="775"/>
    <x v="2"/>
    <x v="2"/>
  </r>
  <r>
    <x v="324"/>
    <x v="782"/>
    <x v="0"/>
    <x v="0"/>
    <x v="1"/>
    <x v="1"/>
    <x v="340"/>
    <x v="13"/>
    <x v="781"/>
    <x v="29"/>
    <x v="776"/>
    <x v="2"/>
    <x v="2"/>
  </r>
  <r>
    <x v="73"/>
    <x v="783"/>
    <x v="0"/>
    <x v="4"/>
    <x v="3"/>
    <x v="9"/>
    <x v="777"/>
    <x v="2"/>
    <x v="782"/>
    <x v="3"/>
    <x v="777"/>
    <x v="0"/>
    <x v="2"/>
  </r>
  <r>
    <x v="143"/>
    <x v="784"/>
    <x v="0"/>
    <x v="0"/>
    <x v="0"/>
    <x v="0"/>
    <x v="778"/>
    <x v="10"/>
    <x v="783"/>
    <x v="29"/>
    <x v="778"/>
    <x v="3"/>
    <x v="1"/>
  </r>
  <r>
    <x v="73"/>
    <x v="785"/>
    <x v="3"/>
    <x v="4"/>
    <x v="2"/>
    <x v="8"/>
    <x v="779"/>
    <x v="0"/>
    <x v="784"/>
    <x v="1"/>
    <x v="779"/>
    <x v="0"/>
    <x v="2"/>
  </r>
  <r>
    <x v="325"/>
    <x v="786"/>
    <x v="3"/>
    <x v="0"/>
    <x v="2"/>
    <x v="6"/>
    <x v="780"/>
    <x v="2"/>
    <x v="785"/>
    <x v="5"/>
    <x v="780"/>
    <x v="3"/>
    <x v="1"/>
  </r>
  <r>
    <x v="324"/>
    <x v="787"/>
    <x v="0"/>
    <x v="4"/>
    <x v="3"/>
    <x v="15"/>
    <x v="781"/>
    <x v="10"/>
    <x v="786"/>
    <x v="17"/>
    <x v="781"/>
    <x v="3"/>
    <x v="0"/>
  </r>
  <r>
    <x v="326"/>
    <x v="788"/>
    <x v="1"/>
    <x v="1"/>
    <x v="1"/>
    <x v="1"/>
    <x v="782"/>
    <x v="0"/>
    <x v="787"/>
    <x v="15"/>
    <x v="782"/>
    <x v="2"/>
    <x v="0"/>
  </r>
  <r>
    <x v="233"/>
    <x v="789"/>
    <x v="1"/>
    <x v="4"/>
    <x v="1"/>
    <x v="16"/>
    <x v="783"/>
    <x v="11"/>
    <x v="788"/>
    <x v="8"/>
    <x v="783"/>
    <x v="2"/>
    <x v="0"/>
  </r>
  <r>
    <x v="264"/>
    <x v="790"/>
    <x v="0"/>
    <x v="4"/>
    <x v="3"/>
    <x v="15"/>
    <x v="784"/>
    <x v="5"/>
    <x v="789"/>
    <x v="25"/>
    <x v="784"/>
    <x v="0"/>
    <x v="2"/>
  </r>
  <r>
    <x v="120"/>
    <x v="791"/>
    <x v="2"/>
    <x v="2"/>
    <x v="2"/>
    <x v="17"/>
    <x v="785"/>
    <x v="6"/>
    <x v="790"/>
    <x v="19"/>
    <x v="785"/>
    <x v="3"/>
    <x v="2"/>
  </r>
  <r>
    <x v="271"/>
    <x v="792"/>
    <x v="1"/>
    <x v="1"/>
    <x v="2"/>
    <x v="17"/>
    <x v="786"/>
    <x v="2"/>
    <x v="791"/>
    <x v="26"/>
    <x v="786"/>
    <x v="2"/>
    <x v="1"/>
  </r>
  <r>
    <x v="88"/>
    <x v="793"/>
    <x v="0"/>
    <x v="0"/>
    <x v="1"/>
    <x v="2"/>
    <x v="787"/>
    <x v="14"/>
    <x v="792"/>
    <x v="15"/>
    <x v="787"/>
    <x v="0"/>
    <x v="0"/>
  </r>
  <r>
    <x v="284"/>
    <x v="794"/>
    <x v="0"/>
    <x v="0"/>
    <x v="0"/>
    <x v="13"/>
    <x v="788"/>
    <x v="0"/>
    <x v="793"/>
    <x v="14"/>
    <x v="788"/>
    <x v="1"/>
    <x v="0"/>
  </r>
  <r>
    <x v="179"/>
    <x v="795"/>
    <x v="2"/>
    <x v="1"/>
    <x v="1"/>
    <x v="16"/>
    <x v="789"/>
    <x v="11"/>
    <x v="794"/>
    <x v="8"/>
    <x v="789"/>
    <x v="0"/>
    <x v="2"/>
  </r>
  <r>
    <x v="327"/>
    <x v="796"/>
    <x v="2"/>
    <x v="2"/>
    <x v="2"/>
    <x v="8"/>
    <x v="790"/>
    <x v="0"/>
    <x v="795"/>
    <x v="12"/>
    <x v="790"/>
    <x v="0"/>
    <x v="2"/>
  </r>
  <r>
    <x v="111"/>
    <x v="797"/>
    <x v="2"/>
    <x v="3"/>
    <x v="1"/>
    <x v="1"/>
    <x v="791"/>
    <x v="6"/>
    <x v="796"/>
    <x v="16"/>
    <x v="791"/>
    <x v="2"/>
    <x v="2"/>
  </r>
  <r>
    <x v="146"/>
    <x v="798"/>
    <x v="2"/>
    <x v="4"/>
    <x v="3"/>
    <x v="10"/>
    <x v="792"/>
    <x v="7"/>
    <x v="797"/>
    <x v="28"/>
    <x v="792"/>
    <x v="0"/>
    <x v="1"/>
  </r>
  <r>
    <x v="311"/>
    <x v="799"/>
    <x v="1"/>
    <x v="3"/>
    <x v="2"/>
    <x v="11"/>
    <x v="793"/>
    <x v="13"/>
    <x v="798"/>
    <x v="24"/>
    <x v="793"/>
    <x v="3"/>
    <x v="0"/>
  </r>
  <r>
    <x v="13"/>
    <x v="800"/>
    <x v="0"/>
    <x v="4"/>
    <x v="1"/>
    <x v="5"/>
    <x v="794"/>
    <x v="11"/>
    <x v="799"/>
    <x v="8"/>
    <x v="794"/>
    <x v="3"/>
    <x v="0"/>
  </r>
  <r>
    <x v="161"/>
    <x v="801"/>
    <x v="0"/>
    <x v="3"/>
    <x v="1"/>
    <x v="1"/>
    <x v="795"/>
    <x v="8"/>
    <x v="800"/>
    <x v="9"/>
    <x v="795"/>
    <x v="3"/>
    <x v="2"/>
  </r>
  <r>
    <x v="328"/>
    <x v="802"/>
    <x v="2"/>
    <x v="4"/>
    <x v="1"/>
    <x v="1"/>
    <x v="796"/>
    <x v="1"/>
    <x v="801"/>
    <x v="19"/>
    <x v="796"/>
    <x v="1"/>
    <x v="0"/>
  </r>
  <r>
    <x v="294"/>
    <x v="803"/>
    <x v="2"/>
    <x v="2"/>
    <x v="1"/>
    <x v="2"/>
    <x v="797"/>
    <x v="5"/>
    <x v="802"/>
    <x v="9"/>
    <x v="797"/>
    <x v="1"/>
    <x v="1"/>
  </r>
  <r>
    <x v="16"/>
    <x v="804"/>
    <x v="0"/>
    <x v="3"/>
    <x v="2"/>
    <x v="6"/>
    <x v="798"/>
    <x v="13"/>
    <x v="803"/>
    <x v="4"/>
    <x v="206"/>
    <x v="3"/>
    <x v="0"/>
  </r>
  <r>
    <x v="151"/>
    <x v="805"/>
    <x v="3"/>
    <x v="3"/>
    <x v="2"/>
    <x v="17"/>
    <x v="799"/>
    <x v="4"/>
    <x v="804"/>
    <x v="19"/>
    <x v="798"/>
    <x v="0"/>
    <x v="2"/>
  </r>
  <r>
    <x v="329"/>
    <x v="806"/>
    <x v="1"/>
    <x v="3"/>
    <x v="1"/>
    <x v="16"/>
    <x v="800"/>
    <x v="7"/>
    <x v="805"/>
    <x v="21"/>
    <x v="799"/>
    <x v="2"/>
    <x v="1"/>
  </r>
  <r>
    <x v="215"/>
    <x v="807"/>
    <x v="1"/>
    <x v="2"/>
    <x v="0"/>
    <x v="0"/>
    <x v="801"/>
    <x v="4"/>
    <x v="806"/>
    <x v="10"/>
    <x v="800"/>
    <x v="0"/>
    <x v="1"/>
  </r>
  <r>
    <x v="113"/>
    <x v="808"/>
    <x v="2"/>
    <x v="0"/>
    <x v="2"/>
    <x v="11"/>
    <x v="802"/>
    <x v="13"/>
    <x v="807"/>
    <x v="6"/>
    <x v="801"/>
    <x v="1"/>
    <x v="0"/>
  </r>
  <r>
    <x v="196"/>
    <x v="809"/>
    <x v="1"/>
    <x v="0"/>
    <x v="0"/>
    <x v="0"/>
    <x v="803"/>
    <x v="12"/>
    <x v="808"/>
    <x v="10"/>
    <x v="802"/>
    <x v="3"/>
    <x v="1"/>
  </r>
  <r>
    <x v="173"/>
    <x v="810"/>
    <x v="2"/>
    <x v="3"/>
    <x v="2"/>
    <x v="6"/>
    <x v="804"/>
    <x v="0"/>
    <x v="809"/>
    <x v="25"/>
    <x v="803"/>
    <x v="2"/>
    <x v="0"/>
  </r>
  <r>
    <x v="183"/>
    <x v="811"/>
    <x v="0"/>
    <x v="1"/>
    <x v="2"/>
    <x v="11"/>
    <x v="805"/>
    <x v="13"/>
    <x v="810"/>
    <x v="21"/>
    <x v="804"/>
    <x v="0"/>
    <x v="2"/>
  </r>
  <r>
    <x v="259"/>
    <x v="812"/>
    <x v="3"/>
    <x v="2"/>
    <x v="0"/>
    <x v="7"/>
    <x v="806"/>
    <x v="3"/>
    <x v="811"/>
    <x v="19"/>
    <x v="805"/>
    <x v="1"/>
    <x v="1"/>
  </r>
  <r>
    <x v="130"/>
    <x v="813"/>
    <x v="1"/>
    <x v="2"/>
    <x v="3"/>
    <x v="14"/>
    <x v="807"/>
    <x v="13"/>
    <x v="812"/>
    <x v="18"/>
    <x v="806"/>
    <x v="3"/>
    <x v="1"/>
  </r>
  <r>
    <x v="143"/>
    <x v="814"/>
    <x v="3"/>
    <x v="0"/>
    <x v="3"/>
    <x v="14"/>
    <x v="808"/>
    <x v="13"/>
    <x v="813"/>
    <x v="18"/>
    <x v="807"/>
    <x v="3"/>
    <x v="2"/>
  </r>
  <r>
    <x v="102"/>
    <x v="815"/>
    <x v="0"/>
    <x v="3"/>
    <x v="1"/>
    <x v="2"/>
    <x v="809"/>
    <x v="1"/>
    <x v="814"/>
    <x v="17"/>
    <x v="808"/>
    <x v="0"/>
    <x v="2"/>
  </r>
  <r>
    <x v="250"/>
    <x v="816"/>
    <x v="1"/>
    <x v="4"/>
    <x v="3"/>
    <x v="10"/>
    <x v="301"/>
    <x v="6"/>
    <x v="815"/>
    <x v="21"/>
    <x v="708"/>
    <x v="1"/>
    <x v="0"/>
  </r>
  <r>
    <x v="65"/>
    <x v="817"/>
    <x v="2"/>
    <x v="0"/>
    <x v="0"/>
    <x v="0"/>
    <x v="810"/>
    <x v="1"/>
    <x v="816"/>
    <x v="9"/>
    <x v="809"/>
    <x v="0"/>
    <x v="1"/>
  </r>
  <r>
    <x v="278"/>
    <x v="818"/>
    <x v="0"/>
    <x v="1"/>
    <x v="3"/>
    <x v="10"/>
    <x v="811"/>
    <x v="13"/>
    <x v="817"/>
    <x v="30"/>
    <x v="810"/>
    <x v="0"/>
    <x v="0"/>
  </r>
  <r>
    <x v="288"/>
    <x v="819"/>
    <x v="3"/>
    <x v="2"/>
    <x v="0"/>
    <x v="13"/>
    <x v="812"/>
    <x v="6"/>
    <x v="818"/>
    <x v="16"/>
    <x v="811"/>
    <x v="3"/>
    <x v="0"/>
  </r>
  <r>
    <x v="148"/>
    <x v="820"/>
    <x v="0"/>
    <x v="1"/>
    <x v="0"/>
    <x v="7"/>
    <x v="813"/>
    <x v="13"/>
    <x v="819"/>
    <x v="6"/>
    <x v="812"/>
    <x v="2"/>
    <x v="1"/>
  </r>
  <r>
    <x v="229"/>
    <x v="821"/>
    <x v="1"/>
    <x v="3"/>
    <x v="3"/>
    <x v="9"/>
    <x v="814"/>
    <x v="5"/>
    <x v="820"/>
    <x v="19"/>
    <x v="813"/>
    <x v="1"/>
    <x v="1"/>
  </r>
  <r>
    <x v="0"/>
    <x v="822"/>
    <x v="2"/>
    <x v="1"/>
    <x v="0"/>
    <x v="18"/>
    <x v="815"/>
    <x v="10"/>
    <x v="821"/>
    <x v="24"/>
    <x v="814"/>
    <x v="0"/>
    <x v="1"/>
  </r>
  <r>
    <x v="259"/>
    <x v="823"/>
    <x v="2"/>
    <x v="2"/>
    <x v="2"/>
    <x v="11"/>
    <x v="816"/>
    <x v="14"/>
    <x v="822"/>
    <x v="15"/>
    <x v="815"/>
    <x v="2"/>
    <x v="0"/>
  </r>
  <r>
    <x v="330"/>
    <x v="824"/>
    <x v="3"/>
    <x v="0"/>
    <x v="0"/>
    <x v="13"/>
    <x v="817"/>
    <x v="13"/>
    <x v="823"/>
    <x v="26"/>
    <x v="816"/>
    <x v="0"/>
    <x v="0"/>
  </r>
  <r>
    <x v="82"/>
    <x v="825"/>
    <x v="1"/>
    <x v="2"/>
    <x v="3"/>
    <x v="9"/>
    <x v="818"/>
    <x v="3"/>
    <x v="824"/>
    <x v="11"/>
    <x v="817"/>
    <x v="2"/>
    <x v="0"/>
  </r>
  <r>
    <x v="155"/>
    <x v="826"/>
    <x v="2"/>
    <x v="2"/>
    <x v="2"/>
    <x v="6"/>
    <x v="819"/>
    <x v="13"/>
    <x v="825"/>
    <x v="0"/>
    <x v="818"/>
    <x v="3"/>
    <x v="2"/>
  </r>
  <r>
    <x v="51"/>
    <x v="827"/>
    <x v="1"/>
    <x v="2"/>
    <x v="1"/>
    <x v="2"/>
    <x v="820"/>
    <x v="10"/>
    <x v="826"/>
    <x v="26"/>
    <x v="819"/>
    <x v="2"/>
    <x v="0"/>
  </r>
  <r>
    <x v="22"/>
    <x v="828"/>
    <x v="1"/>
    <x v="4"/>
    <x v="1"/>
    <x v="5"/>
    <x v="821"/>
    <x v="12"/>
    <x v="827"/>
    <x v="24"/>
    <x v="820"/>
    <x v="2"/>
    <x v="0"/>
  </r>
  <r>
    <x v="55"/>
    <x v="829"/>
    <x v="1"/>
    <x v="1"/>
    <x v="3"/>
    <x v="10"/>
    <x v="822"/>
    <x v="8"/>
    <x v="828"/>
    <x v="20"/>
    <x v="821"/>
    <x v="3"/>
    <x v="0"/>
  </r>
  <r>
    <x v="230"/>
    <x v="830"/>
    <x v="2"/>
    <x v="0"/>
    <x v="2"/>
    <x v="11"/>
    <x v="823"/>
    <x v="6"/>
    <x v="829"/>
    <x v="27"/>
    <x v="822"/>
    <x v="2"/>
    <x v="2"/>
  </r>
  <r>
    <x v="180"/>
    <x v="831"/>
    <x v="1"/>
    <x v="4"/>
    <x v="1"/>
    <x v="5"/>
    <x v="824"/>
    <x v="5"/>
    <x v="830"/>
    <x v="0"/>
    <x v="823"/>
    <x v="0"/>
    <x v="1"/>
  </r>
  <r>
    <x v="331"/>
    <x v="832"/>
    <x v="2"/>
    <x v="3"/>
    <x v="3"/>
    <x v="15"/>
    <x v="825"/>
    <x v="12"/>
    <x v="831"/>
    <x v="29"/>
    <x v="824"/>
    <x v="0"/>
    <x v="0"/>
  </r>
  <r>
    <x v="226"/>
    <x v="833"/>
    <x v="3"/>
    <x v="4"/>
    <x v="3"/>
    <x v="12"/>
    <x v="826"/>
    <x v="0"/>
    <x v="832"/>
    <x v="29"/>
    <x v="825"/>
    <x v="2"/>
    <x v="2"/>
  </r>
  <r>
    <x v="332"/>
    <x v="834"/>
    <x v="0"/>
    <x v="3"/>
    <x v="0"/>
    <x v="18"/>
    <x v="827"/>
    <x v="10"/>
    <x v="833"/>
    <x v="3"/>
    <x v="826"/>
    <x v="2"/>
    <x v="2"/>
  </r>
  <r>
    <x v="299"/>
    <x v="835"/>
    <x v="0"/>
    <x v="3"/>
    <x v="0"/>
    <x v="0"/>
    <x v="828"/>
    <x v="12"/>
    <x v="834"/>
    <x v="1"/>
    <x v="827"/>
    <x v="1"/>
    <x v="1"/>
  </r>
  <r>
    <x v="254"/>
    <x v="836"/>
    <x v="1"/>
    <x v="4"/>
    <x v="2"/>
    <x v="4"/>
    <x v="829"/>
    <x v="5"/>
    <x v="835"/>
    <x v="24"/>
    <x v="828"/>
    <x v="0"/>
    <x v="1"/>
  </r>
  <r>
    <x v="136"/>
    <x v="837"/>
    <x v="1"/>
    <x v="2"/>
    <x v="2"/>
    <x v="6"/>
    <x v="830"/>
    <x v="13"/>
    <x v="836"/>
    <x v="27"/>
    <x v="829"/>
    <x v="2"/>
    <x v="0"/>
  </r>
  <r>
    <x v="96"/>
    <x v="838"/>
    <x v="2"/>
    <x v="3"/>
    <x v="2"/>
    <x v="8"/>
    <x v="831"/>
    <x v="10"/>
    <x v="837"/>
    <x v="6"/>
    <x v="830"/>
    <x v="3"/>
    <x v="1"/>
  </r>
  <r>
    <x v="251"/>
    <x v="839"/>
    <x v="3"/>
    <x v="2"/>
    <x v="2"/>
    <x v="6"/>
    <x v="832"/>
    <x v="7"/>
    <x v="838"/>
    <x v="3"/>
    <x v="831"/>
    <x v="1"/>
    <x v="1"/>
  </r>
  <r>
    <x v="215"/>
    <x v="840"/>
    <x v="3"/>
    <x v="4"/>
    <x v="0"/>
    <x v="18"/>
    <x v="833"/>
    <x v="5"/>
    <x v="839"/>
    <x v="22"/>
    <x v="832"/>
    <x v="3"/>
    <x v="1"/>
  </r>
  <r>
    <x v="333"/>
    <x v="841"/>
    <x v="3"/>
    <x v="2"/>
    <x v="2"/>
    <x v="17"/>
    <x v="834"/>
    <x v="1"/>
    <x v="840"/>
    <x v="6"/>
    <x v="833"/>
    <x v="0"/>
    <x v="1"/>
  </r>
  <r>
    <x v="196"/>
    <x v="842"/>
    <x v="0"/>
    <x v="3"/>
    <x v="3"/>
    <x v="9"/>
    <x v="835"/>
    <x v="11"/>
    <x v="841"/>
    <x v="8"/>
    <x v="834"/>
    <x v="0"/>
    <x v="1"/>
  </r>
  <r>
    <x v="334"/>
    <x v="843"/>
    <x v="1"/>
    <x v="0"/>
    <x v="3"/>
    <x v="14"/>
    <x v="836"/>
    <x v="7"/>
    <x v="842"/>
    <x v="4"/>
    <x v="835"/>
    <x v="2"/>
    <x v="2"/>
  </r>
  <r>
    <x v="70"/>
    <x v="844"/>
    <x v="2"/>
    <x v="1"/>
    <x v="2"/>
    <x v="8"/>
    <x v="837"/>
    <x v="5"/>
    <x v="843"/>
    <x v="26"/>
    <x v="836"/>
    <x v="1"/>
    <x v="2"/>
  </r>
  <r>
    <x v="13"/>
    <x v="845"/>
    <x v="2"/>
    <x v="2"/>
    <x v="2"/>
    <x v="6"/>
    <x v="675"/>
    <x v="6"/>
    <x v="844"/>
    <x v="8"/>
    <x v="837"/>
    <x v="1"/>
    <x v="0"/>
  </r>
  <r>
    <x v="197"/>
    <x v="846"/>
    <x v="1"/>
    <x v="2"/>
    <x v="2"/>
    <x v="8"/>
    <x v="838"/>
    <x v="1"/>
    <x v="845"/>
    <x v="15"/>
    <x v="838"/>
    <x v="2"/>
    <x v="2"/>
  </r>
  <r>
    <x v="183"/>
    <x v="847"/>
    <x v="0"/>
    <x v="3"/>
    <x v="3"/>
    <x v="12"/>
    <x v="839"/>
    <x v="13"/>
    <x v="846"/>
    <x v="15"/>
    <x v="839"/>
    <x v="2"/>
    <x v="0"/>
  </r>
  <r>
    <x v="233"/>
    <x v="848"/>
    <x v="2"/>
    <x v="1"/>
    <x v="3"/>
    <x v="9"/>
    <x v="840"/>
    <x v="11"/>
    <x v="847"/>
    <x v="24"/>
    <x v="840"/>
    <x v="2"/>
    <x v="0"/>
  </r>
  <r>
    <x v="335"/>
    <x v="849"/>
    <x v="1"/>
    <x v="2"/>
    <x v="0"/>
    <x v="18"/>
    <x v="841"/>
    <x v="10"/>
    <x v="848"/>
    <x v="29"/>
    <x v="841"/>
    <x v="0"/>
    <x v="0"/>
  </r>
  <r>
    <x v="327"/>
    <x v="850"/>
    <x v="0"/>
    <x v="1"/>
    <x v="0"/>
    <x v="13"/>
    <x v="842"/>
    <x v="3"/>
    <x v="849"/>
    <x v="0"/>
    <x v="842"/>
    <x v="3"/>
    <x v="2"/>
  </r>
  <r>
    <x v="225"/>
    <x v="851"/>
    <x v="1"/>
    <x v="4"/>
    <x v="0"/>
    <x v="19"/>
    <x v="843"/>
    <x v="2"/>
    <x v="850"/>
    <x v="29"/>
    <x v="843"/>
    <x v="2"/>
    <x v="0"/>
  </r>
  <r>
    <x v="133"/>
    <x v="852"/>
    <x v="3"/>
    <x v="3"/>
    <x v="0"/>
    <x v="13"/>
    <x v="844"/>
    <x v="14"/>
    <x v="851"/>
    <x v="18"/>
    <x v="844"/>
    <x v="1"/>
    <x v="2"/>
  </r>
  <r>
    <x v="140"/>
    <x v="853"/>
    <x v="1"/>
    <x v="3"/>
    <x v="3"/>
    <x v="12"/>
    <x v="845"/>
    <x v="8"/>
    <x v="852"/>
    <x v="21"/>
    <x v="845"/>
    <x v="3"/>
    <x v="2"/>
  </r>
  <r>
    <x v="71"/>
    <x v="854"/>
    <x v="3"/>
    <x v="0"/>
    <x v="0"/>
    <x v="7"/>
    <x v="846"/>
    <x v="0"/>
    <x v="853"/>
    <x v="24"/>
    <x v="846"/>
    <x v="1"/>
    <x v="1"/>
  </r>
  <r>
    <x v="336"/>
    <x v="855"/>
    <x v="2"/>
    <x v="0"/>
    <x v="2"/>
    <x v="17"/>
    <x v="847"/>
    <x v="2"/>
    <x v="854"/>
    <x v="23"/>
    <x v="847"/>
    <x v="3"/>
    <x v="0"/>
  </r>
  <r>
    <x v="316"/>
    <x v="856"/>
    <x v="0"/>
    <x v="2"/>
    <x v="0"/>
    <x v="19"/>
    <x v="848"/>
    <x v="9"/>
    <x v="855"/>
    <x v="20"/>
    <x v="848"/>
    <x v="1"/>
    <x v="1"/>
  </r>
  <r>
    <x v="291"/>
    <x v="857"/>
    <x v="3"/>
    <x v="3"/>
    <x v="1"/>
    <x v="3"/>
    <x v="849"/>
    <x v="14"/>
    <x v="856"/>
    <x v="28"/>
    <x v="849"/>
    <x v="0"/>
    <x v="2"/>
  </r>
  <r>
    <x v="199"/>
    <x v="858"/>
    <x v="0"/>
    <x v="1"/>
    <x v="3"/>
    <x v="10"/>
    <x v="850"/>
    <x v="2"/>
    <x v="857"/>
    <x v="6"/>
    <x v="850"/>
    <x v="2"/>
    <x v="0"/>
  </r>
  <r>
    <x v="337"/>
    <x v="859"/>
    <x v="1"/>
    <x v="3"/>
    <x v="0"/>
    <x v="18"/>
    <x v="851"/>
    <x v="0"/>
    <x v="858"/>
    <x v="21"/>
    <x v="851"/>
    <x v="2"/>
    <x v="1"/>
  </r>
  <r>
    <x v="188"/>
    <x v="860"/>
    <x v="3"/>
    <x v="0"/>
    <x v="0"/>
    <x v="0"/>
    <x v="852"/>
    <x v="3"/>
    <x v="859"/>
    <x v="11"/>
    <x v="852"/>
    <x v="2"/>
    <x v="1"/>
  </r>
  <r>
    <x v="218"/>
    <x v="861"/>
    <x v="1"/>
    <x v="0"/>
    <x v="1"/>
    <x v="5"/>
    <x v="853"/>
    <x v="0"/>
    <x v="860"/>
    <x v="11"/>
    <x v="853"/>
    <x v="2"/>
    <x v="2"/>
  </r>
  <r>
    <x v="145"/>
    <x v="862"/>
    <x v="3"/>
    <x v="1"/>
    <x v="2"/>
    <x v="8"/>
    <x v="854"/>
    <x v="5"/>
    <x v="861"/>
    <x v="9"/>
    <x v="854"/>
    <x v="1"/>
    <x v="2"/>
  </r>
  <r>
    <x v="54"/>
    <x v="863"/>
    <x v="3"/>
    <x v="1"/>
    <x v="2"/>
    <x v="11"/>
    <x v="855"/>
    <x v="10"/>
    <x v="862"/>
    <x v="2"/>
    <x v="855"/>
    <x v="2"/>
    <x v="0"/>
  </r>
  <r>
    <x v="338"/>
    <x v="864"/>
    <x v="1"/>
    <x v="2"/>
    <x v="3"/>
    <x v="9"/>
    <x v="856"/>
    <x v="6"/>
    <x v="863"/>
    <x v="2"/>
    <x v="856"/>
    <x v="0"/>
    <x v="2"/>
  </r>
  <r>
    <x v="180"/>
    <x v="865"/>
    <x v="0"/>
    <x v="3"/>
    <x v="0"/>
    <x v="13"/>
    <x v="857"/>
    <x v="4"/>
    <x v="864"/>
    <x v="19"/>
    <x v="857"/>
    <x v="2"/>
    <x v="2"/>
  </r>
  <r>
    <x v="96"/>
    <x v="866"/>
    <x v="3"/>
    <x v="2"/>
    <x v="0"/>
    <x v="13"/>
    <x v="858"/>
    <x v="7"/>
    <x v="865"/>
    <x v="14"/>
    <x v="858"/>
    <x v="3"/>
    <x v="1"/>
  </r>
  <r>
    <x v="290"/>
    <x v="867"/>
    <x v="2"/>
    <x v="2"/>
    <x v="1"/>
    <x v="5"/>
    <x v="859"/>
    <x v="3"/>
    <x v="866"/>
    <x v="13"/>
    <x v="859"/>
    <x v="2"/>
    <x v="2"/>
  </r>
  <r>
    <x v="262"/>
    <x v="868"/>
    <x v="2"/>
    <x v="0"/>
    <x v="2"/>
    <x v="6"/>
    <x v="860"/>
    <x v="10"/>
    <x v="867"/>
    <x v="5"/>
    <x v="860"/>
    <x v="3"/>
    <x v="2"/>
  </r>
  <r>
    <x v="237"/>
    <x v="869"/>
    <x v="1"/>
    <x v="0"/>
    <x v="3"/>
    <x v="9"/>
    <x v="861"/>
    <x v="8"/>
    <x v="868"/>
    <x v="8"/>
    <x v="861"/>
    <x v="0"/>
    <x v="0"/>
  </r>
  <r>
    <x v="44"/>
    <x v="870"/>
    <x v="2"/>
    <x v="4"/>
    <x v="0"/>
    <x v="18"/>
    <x v="862"/>
    <x v="3"/>
    <x v="869"/>
    <x v="4"/>
    <x v="862"/>
    <x v="2"/>
    <x v="2"/>
  </r>
  <r>
    <x v="328"/>
    <x v="871"/>
    <x v="0"/>
    <x v="2"/>
    <x v="2"/>
    <x v="17"/>
    <x v="863"/>
    <x v="14"/>
    <x v="870"/>
    <x v="9"/>
    <x v="863"/>
    <x v="2"/>
    <x v="2"/>
  </r>
  <r>
    <x v="215"/>
    <x v="872"/>
    <x v="3"/>
    <x v="0"/>
    <x v="2"/>
    <x v="4"/>
    <x v="864"/>
    <x v="8"/>
    <x v="871"/>
    <x v="17"/>
    <x v="864"/>
    <x v="3"/>
    <x v="0"/>
  </r>
  <r>
    <x v="170"/>
    <x v="873"/>
    <x v="0"/>
    <x v="1"/>
    <x v="2"/>
    <x v="11"/>
    <x v="865"/>
    <x v="12"/>
    <x v="872"/>
    <x v="20"/>
    <x v="865"/>
    <x v="0"/>
    <x v="0"/>
  </r>
  <r>
    <x v="75"/>
    <x v="874"/>
    <x v="1"/>
    <x v="4"/>
    <x v="3"/>
    <x v="14"/>
    <x v="866"/>
    <x v="11"/>
    <x v="873"/>
    <x v="6"/>
    <x v="866"/>
    <x v="1"/>
    <x v="2"/>
  </r>
  <r>
    <x v="276"/>
    <x v="875"/>
    <x v="2"/>
    <x v="4"/>
    <x v="2"/>
    <x v="11"/>
    <x v="867"/>
    <x v="6"/>
    <x v="874"/>
    <x v="7"/>
    <x v="867"/>
    <x v="0"/>
    <x v="1"/>
  </r>
  <r>
    <x v="317"/>
    <x v="876"/>
    <x v="3"/>
    <x v="1"/>
    <x v="2"/>
    <x v="11"/>
    <x v="516"/>
    <x v="8"/>
    <x v="875"/>
    <x v="19"/>
    <x v="868"/>
    <x v="1"/>
    <x v="1"/>
  </r>
  <r>
    <x v="38"/>
    <x v="877"/>
    <x v="2"/>
    <x v="4"/>
    <x v="2"/>
    <x v="4"/>
    <x v="868"/>
    <x v="11"/>
    <x v="876"/>
    <x v="27"/>
    <x v="869"/>
    <x v="1"/>
    <x v="1"/>
  </r>
  <r>
    <x v="339"/>
    <x v="878"/>
    <x v="1"/>
    <x v="0"/>
    <x v="1"/>
    <x v="1"/>
    <x v="869"/>
    <x v="8"/>
    <x v="877"/>
    <x v="30"/>
    <x v="870"/>
    <x v="0"/>
    <x v="1"/>
  </r>
  <r>
    <x v="332"/>
    <x v="879"/>
    <x v="0"/>
    <x v="3"/>
    <x v="2"/>
    <x v="6"/>
    <x v="870"/>
    <x v="12"/>
    <x v="878"/>
    <x v="14"/>
    <x v="871"/>
    <x v="3"/>
    <x v="0"/>
  </r>
  <r>
    <x v="42"/>
    <x v="880"/>
    <x v="1"/>
    <x v="0"/>
    <x v="0"/>
    <x v="18"/>
    <x v="871"/>
    <x v="2"/>
    <x v="879"/>
    <x v="30"/>
    <x v="872"/>
    <x v="0"/>
    <x v="2"/>
  </r>
  <r>
    <x v="208"/>
    <x v="881"/>
    <x v="0"/>
    <x v="3"/>
    <x v="3"/>
    <x v="10"/>
    <x v="872"/>
    <x v="12"/>
    <x v="880"/>
    <x v="25"/>
    <x v="873"/>
    <x v="2"/>
    <x v="0"/>
  </r>
  <r>
    <x v="112"/>
    <x v="882"/>
    <x v="2"/>
    <x v="0"/>
    <x v="0"/>
    <x v="18"/>
    <x v="873"/>
    <x v="9"/>
    <x v="881"/>
    <x v="28"/>
    <x v="874"/>
    <x v="1"/>
    <x v="2"/>
  </r>
  <r>
    <x v="55"/>
    <x v="883"/>
    <x v="1"/>
    <x v="4"/>
    <x v="2"/>
    <x v="6"/>
    <x v="874"/>
    <x v="13"/>
    <x v="882"/>
    <x v="1"/>
    <x v="875"/>
    <x v="1"/>
    <x v="0"/>
  </r>
  <r>
    <x v="75"/>
    <x v="884"/>
    <x v="0"/>
    <x v="0"/>
    <x v="1"/>
    <x v="5"/>
    <x v="875"/>
    <x v="8"/>
    <x v="883"/>
    <x v="12"/>
    <x v="876"/>
    <x v="1"/>
    <x v="1"/>
  </r>
  <r>
    <x v="265"/>
    <x v="885"/>
    <x v="1"/>
    <x v="2"/>
    <x v="0"/>
    <x v="18"/>
    <x v="876"/>
    <x v="14"/>
    <x v="884"/>
    <x v="10"/>
    <x v="877"/>
    <x v="3"/>
    <x v="2"/>
  </r>
  <r>
    <x v="63"/>
    <x v="886"/>
    <x v="3"/>
    <x v="1"/>
    <x v="0"/>
    <x v="18"/>
    <x v="877"/>
    <x v="11"/>
    <x v="885"/>
    <x v="8"/>
    <x v="878"/>
    <x v="2"/>
    <x v="0"/>
  </r>
  <r>
    <x v="324"/>
    <x v="887"/>
    <x v="1"/>
    <x v="4"/>
    <x v="1"/>
    <x v="1"/>
    <x v="878"/>
    <x v="10"/>
    <x v="886"/>
    <x v="6"/>
    <x v="879"/>
    <x v="0"/>
    <x v="2"/>
  </r>
  <r>
    <x v="337"/>
    <x v="888"/>
    <x v="2"/>
    <x v="4"/>
    <x v="3"/>
    <x v="10"/>
    <x v="879"/>
    <x v="6"/>
    <x v="887"/>
    <x v="10"/>
    <x v="880"/>
    <x v="2"/>
    <x v="1"/>
  </r>
  <r>
    <x v="143"/>
    <x v="889"/>
    <x v="0"/>
    <x v="3"/>
    <x v="3"/>
    <x v="9"/>
    <x v="880"/>
    <x v="5"/>
    <x v="888"/>
    <x v="25"/>
    <x v="881"/>
    <x v="0"/>
    <x v="0"/>
  </r>
  <r>
    <x v="286"/>
    <x v="890"/>
    <x v="2"/>
    <x v="2"/>
    <x v="2"/>
    <x v="6"/>
    <x v="881"/>
    <x v="7"/>
    <x v="889"/>
    <x v="5"/>
    <x v="882"/>
    <x v="3"/>
    <x v="2"/>
  </r>
  <r>
    <x v="204"/>
    <x v="891"/>
    <x v="1"/>
    <x v="0"/>
    <x v="2"/>
    <x v="6"/>
    <x v="882"/>
    <x v="14"/>
    <x v="890"/>
    <x v="9"/>
    <x v="883"/>
    <x v="1"/>
    <x v="0"/>
  </r>
  <r>
    <x v="187"/>
    <x v="892"/>
    <x v="0"/>
    <x v="0"/>
    <x v="1"/>
    <x v="16"/>
    <x v="883"/>
    <x v="8"/>
    <x v="891"/>
    <x v="19"/>
    <x v="884"/>
    <x v="2"/>
    <x v="0"/>
  </r>
  <r>
    <x v="318"/>
    <x v="893"/>
    <x v="3"/>
    <x v="4"/>
    <x v="1"/>
    <x v="2"/>
    <x v="884"/>
    <x v="13"/>
    <x v="892"/>
    <x v="13"/>
    <x v="885"/>
    <x v="2"/>
    <x v="1"/>
  </r>
  <r>
    <x v="40"/>
    <x v="894"/>
    <x v="2"/>
    <x v="3"/>
    <x v="1"/>
    <x v="3"/>
    <x v="885"/>
    <x v="6"/>
    <x v="893"/>
    <x v="30"/>
    <x v="886"/>
    <x v="3"/>
    <x v="2"/>
  </r>
  <r>
    <x v="27"/>
    <x v="895"/>
    <x v="1"/>
    <x v="0"/>
    <x v="1"/>
    <x v="1"/>
    <x v="886"/>
    <x v="5"/>
    <x v="894"/>
    <x v="8"/>
    <x v="887"/>
    <x v="2"/>
    <x v="0"/>
  </r>
  <r>
    <x v="173"/>
    <x v="896"/>
    <x v="0"/>
    <x v="2"/>
    <x v="0"/>
    <x v="18"/>
    <x v="887"/>
    <x v="0"/>
    <x v="895"/>
    <x v="27"/>
    <x v="212"/>
    <x v="2"/>
    <x v="2"/>
  </r>
  <r>
    <x v="288"/>
    <x v="897"/>
    <x v="3"/>
    <x v="0"/>
    <x v="3"/>
    <x v="15"/>
    <x v="888"/>
    <x v="0"/>
    <x v="896"/>
    <x v="23"/>
    <x v="888"/>
    <x v="0"/>
    <x v="1"/>
  </r>
  <r>
    <x v="195"/>
    <x v="898"/>
    <x v="3"/>
    <x v="4"/>
    <x v="0"/>
    <x v="18"/>
    <x v="889"/>
    <x v="13"/>
    <x v="897"/>
    <x v="23"/>
    <x v="889"/>
    <x v="1"/>
    <x v="1"/>
  </r>
  <r>
    <x v="270"/>
    <x v="899"/>
    <x v="1"/>
    <x v="4"/>
    <x v="0"/>
    <x v="0"/>
    <x v="527"/>
    <x v="7"/>
    <x v="898"/>
    <x v="14"/>
    <x v="890"/>
    <x v="2"/>
    <x v="1"/>
  </r>
  <r>
    <x v="160"/>
    <x v="900"/>
    <x v="0"/>
    <x v="0"/>
    <x v="3"/>
    <x v="12"/>
    <x v="890"/>
    <x v="11"/>
    <x v="899"/>
    <x v="8"/>
    <x v="891"/>
    <x v="0"/>
    <x v="2"/>
  </r>
  <r>
    <x v="89"/>
    <x v="901"/>
    <x v="2"/>
    <x v="4"/>
    <x v="2"/>
    <x v="6"/>
    <x v="156"/>
    <x v="3"/>
    <x v="900"/>
    <x v="1"/>
    <x v="892"/>
    <x v="2"/>
    <x v="2"/>
  </r>
  <r>
    <x v="106"/>
    <x v="902"/>
    <x v="0"/>
    <x v="4"/>
    <x v="2"/>
    <x v="4"/>
    <x v="891"/>
    <x v="4"/>
    <x v="901"/>
    <x v="21"/>
    <x v="893"/>
    <x v="0"/>
    <x v="1"/>
  </r>
  <r>
    <x v="280"/>
    <x v="903"/>
    <x v="2"/>
    <x v="3"/>
    <x v="2"/>
    <x v="6"/>
    <x v="892"/>
    <x v="0"/>
    <x v="902"/>
    <x v="22"/>
    <x v="894"/>
    <x v="3"/>
    <x v="1"/>
  </r>
  <r>
    <x v="294"/>
    <x v="904"/>
    <x v="3"/>
    <x v="3"/>
    <x v="1"/>
    <x v="5"/>
    <x v="893"/>
    <x v="5"/>
    <x v="903"/>
    <x v="7"/>
    <x v="895"/>
    <x v="2"/>
    <x v="1"/>
  </r>
  <r>
    <x v="138"/>
    <x v="905"/>
    <x v="2"/>
    <x v="0"/>
    <x v="0"/>
    <x v="19"/>
    <x v="894"/>
    <x v="10"/>
    <x v="904"/>
    <x v="9"/>
    <x v="896"/>
    <x v="1"/>
    <x v="1"/>
  </r>
  <r>
    <x v="207"/>
    <x v="906"/>
    <x v="0"/>
    <x v="1"/>
    <x v="2"/>
    <x v="6"/>
    <x v="895"/>
    <x v="13"/>
    <x v="905"/>
    <x v="7"/>
    <x v="897"/>
    <x v="2"/>
    <x v="0"/>
  </r>
  <r>
    <x v="197"/>
    <x v="907"/>
    <x v="2"/>
    <x v="4"/>
    <x v="1"/>
    <x v="16"/>
    <x v="896"/>
    <x v="12"/>
    <x v="906"/>
    <x v="18"/>
    <x v="898"/>
    <x v="2"/>
    <x v="1"/>
  </r>
  <r>
    <x v="324"/>
    <x v="908"/>
    <x v="1"/>
    <x v="4"/>
    <x v="1"/>
    <x v="3"/>
    <x v="897"/>
    <x v="4"/>
    <x v="907"/>
    <x v="27"/>
    <x v="899"/>
    <x v="3"/>
    <x v="2"/>
  </r>
  <r>
    <x v="270"/>
    <x v="909"/>
    <x v="2"/>
    <x v="4"/>
    <x v="1"/>
    <x v="3"/>
    <x v="898"/>
    <x v="4"/>
    <x v="908"/>
    <x v="18"/>
    <x v="900"/>
    <x v="2"/>
    <x v="1"/>
  </r>
  <r>
    <x v="124"/>
    <x v="910"/>
    <x v="2"/>
    <x v="0"/>
    <x v="3"/>
    <x v="14"/>
    <x v="899"/>
    <x v="14"/>
    <x v="909"/>
    <x v="22"/>
    <x v="901"/>
    <x v="1"/>
    <x v="2"/>
  </r>
  <r>
    <x v="249"/>
    <x v="911"/>
    <x v="2"/>
    <x v="2"/>
    <x v="3"/>
    <x v="9"/>
    <x v="900"/>
    <x v="0"/>
    <x v="910"/>
    <x v="24"/>
    <x v="902"/>
    <x v="0"/>
    <x v="1"/>
  </r>
  <r>
    <x v="2"/>
    <x v="912"/>
    <x v="2"/>
    <x v="0"/>
    <x v="3"/>
    <x v="14"/>
    <x v="901"/>
    <x v="9"/>
    <x v="911"/>
    <x v="5"/>
    <x v="903"/>
    <x v="1"/>
    <x v="0"/>
  </r>
  <r>
    <x v="175"/>
    <x v="913"/>
    <x v="3"/>
    <x v="2"/>
    <x v="0"/>
    <x v="19"/>
    <x v="902"/>
    <x v="14"/>
    <x v="912"/>
    <x v="1"/>
    <x v="904"/>
    <x v="1"/>
    <x v="0"/>
  </r>
  <r>
    <x v="121"/>
    <x v="914"/>
    <x v="3"/>
    <x v="2"/>
    <x v="3"/>
    <x v="9"/>
    <x v="903"/>
    <x v="13"/>
    <x v="913"/>
    <x v="20"/>
    <x v="905"/>
    <x v="1"/>
    <x v="1"/>
  </r>
  <r>
    <x v="253"/>
    <x v="915"/>
    <x v="2"/>
    <x v="4"/>
    <x v="3"/>
    <x v="9"/>
    <x v="904"/>
    <x v="0"/>
    <x v="914"/>
    <x v="3"/>
    <x v="906"/>
    <x v="1"/>
    <x v="2"/>
  </r>
  <r>
    <x v="138"/>
    <x v="916"/>
    <x v="1"/>
    <x v="2"/>
    <x v="0"/>
    <x v="0"/>
    <x v="905"/>
    <x v="7"/>
    <x v="915"/>
    <x v="10"/>
    <x v="907"/>
    <x v="0"/>
    <x v="1"/>
  </r>
  <r>
    <x v="131"/>
    <x v="917"/>
    <x v="0"/>
    <x v="3"/>
    <x v="3"/>
    <x v="9"/>
    <x v="906"/>
    <x v="0"/>
    <x v="916"/>
    <x v="10"/>
    <x v="908"/>
    <x v="3"/>
    <x v="0"/>
  </r>
  <r>
    <x v="340"/>
    <x v="918"/>
    <x v="2"/>
    <x v="2"/>
    <x v="0"/>
    <x v="0"/>
    <x v="907"/>
    <x v="4"/>
    <x v="917"/>
    <x v="18"/>
    <x v="909"/>
    <x v="2"/>
    <x v="0"/>
  </r>
  <r>
    <x v="76"/>
    <x v="919"/>
    <x v="2"/>
    <x v="4"/>
    <x v="1"/>
    <x v="3"/>
    <x v="908"/>
    <x v="1"/>
    <x v="918"/>
    <x v="26"/>
    <x v="910"/>
    <x v="0"/>
    <x v="2"/>
  </r>
  <r>
    <x v="159"/>
    <x v="920"/>
    <x v="1"/>
    <x v="2"/>
    <x v="2"/>
    <x v="6"/>
    <x v="909"/>
    <x v="0"/>
    <x v="919"/>
    <x v="7"/>
    <x v="911"/>
    <x v="2"/>
    <x v="0"/>
  </r>
  <r>
    <x v="121"/>
    <x v="921"/>
    <x v="3"/>
    <x v="1"/>
    <x v="2"/>
    <x v="6"/>
    <x v="910"/>
    <x v="6"/>
    <x v="920"/>
    <x v="4"/>
    <x v="912"/>
    <x v="0"/>
    <x v="1"/>
  </r>
  <r>
    <x v="38"/>
    <x v="922"/>
    <x v="3"/>
    <x v="1"/>
    <x v="1"/>
    <x v="2"/>
    <x v="136"/>
    <x v="2"/>
    <x v="136"/>
    <x v="11"/>
    <x v="913"/>
    <x v="0"/>
    <x v="2"/>
  </r>
  <r>
    <x v="314"/>
    <x v="923"/>
    <x v="1"/>
    <x v="0"/>
    <x v="0"/>
    <x v="0"/>
    <x v="911"/>
    <x v="1"/>
    <x v="921"/>
    <x v="23"/>
    <x v="914"/>
    <x v="1"/>
    <x v="2"/>
  </r>
  <r>
    <x v="20"/>
    <x v="924"/>
    <x v="2"/>
    <x v="2"/>
    <x v="3"/>
    <x v="14"/>
    <x v="912"/>
    <x v="3"/>
    <x v="922"/>
    <x v="7"/>
    <x v="915"/>
    <x v="1"/>
    <x v="1"/>
  </r>
  <r>
    <x v="153"/>
    <x v="925"/>
    <x v="2"/>
    <x v="1"/>
    <x v="1"/>
    <x v="1"/>
    <x v="913"/>
    <x v="9"/>
    <x v="923"/>
    <x v="18"/>
    <x v="916"/>
    <x v="2"/>
    <x v="1"/>
  </r>
  <r>
    <x v="116"/>
    <x v="926"/>
    <x v="0"/>
    <x v="2"/>
    <x v="3"/>
    <x v="9"/>
    <x v="914"/>
    <x v="10"/>
    <x v="924"/>
    <x v="19"/>
    <x v="917"/>
    <x v="1"/>
    <x v="2"/>
  </r>
  <r>
    <x v="181"/>
    <x v="927"/>
    <x v="2"/>
    <x v="0"/>
    <x v="0"/>
    <x v="18"/>
    <x v="915"/>
    <x v="7"/>
    <x v="925"/>
    <x v="8"/>
    <x v="918"/>
    <x v="3"/>
    <x v="1"/>
  </r>
  <r>
    <x v="279"/>
    <x v="928"/>
    <x v="2"/>
    <x v="0"/>
    <x v="1"/>
    <x v="2"/>
    <x v="916"/>
    <x v="3"/>
    <x v="926"/>
    <x v="4"/>
    <x v="919"/>
    <x v="1"/>
    <x v="2"/>
  </r>
  <r>
    <x v="211"/>
    <x v="929"/>
    <x v="3"/>
    <x v="4"/>
    <x v="2"/>
    <x v="4"/>
    <x v="917"/>
    <x v="13"/>
    <x v="927"/>
    <x v="14"/>
    <x v="920"/>
    <x v="1"/>
    <x v="2"/>
  </r>
  <r>
    <x v="31"/>
    <x v="930"/>
    <x v="3"/>
    <x v="3"/>
    <x v="2"/>
    <x v="17"/>
    <x v="918"/>
    <x v="10"/>
    <x v="928"/>
    <x v="24"/>
    <x v="921"/>
    <x v="0"/>
    <x v="2"/>
  </r>
  <r>
    <x v="35"/>
    <x v="931"/>
    <x v="0"/>
    <x v="1"/>
    <x v="0"/>
    <x v="13"/>
    <x v="919"/>
    <x v="1"/>
    <x v="929"/>
    <x v="19"/>
    <x v="922"/>
    <x v="2"/>
    <x v="0"/>
  </r>
  <r>
    <x v="56"/>
    <x v="932"/>
    <x v="0"/>
    <x v="2"/>
    <x v="0"/>
    <x v="0"/>
    <x v="920"/>
    <x v="13"/>
    <x v="930"/>
    <x v="11"/>
    <x v="923"/>
    <x v="0"/>
    <x v="1"/>
  </r>
  <r>
    <x v="161"/>
    <x v="933"/>
    <x v="3"/>
    <x v="2"/>
    <x v="2"/>
    <x v="11"/>
    <x v="921"/>
    <x v="6"/>
    <x v="931"/>
    <x v="3"/>
    <x v="924"/>
    <x v="3"/>
    <x v="2"/>
  </r>
  <r>
    <x v="191"/>
    <x v="934"/>
    <x v="2"/>
    <x v="1"/>
    <x v="2"/>
    <x v="11"/>
    <x v="922"/>
    <x v="8"/>
    <x v="932"/>
    <x v="27"/>
    <x v="925"/>
    <x v="2"/>
    <x v="1"/>
  </r>
  <r>
    <x v="118"/>
    <x v="935"/>
    <x v="2"/>
    <x v="4"/>
    <x v="2"/>
    <x v="4"/>
    <x v="923"/>
    <x v="12"/>
    <x v="933"/>
    <x v="25"/>
    <x v="926"/>
    <x v="0"/>
    <x v="1"/>
  </r>
  <r>
    <x v="216"/>
    <x v="936"/>
    <x v="0"/>
    <x v="3"/>
    <x v="2"/>
    <x v="17"/>
    <x v="924"/>
    <x v="13"/>
    <x v="934"/>
    <x v="6"/>
    <x v="927"/>
    <x v="1"/>
    <x v="2"/>
  </r>
  <r>
    <x v="341"/>
    <x v="937"/>
    <x v="0"/>
    <x v="1"/>
    <x v="1"/>
    <x v="3"/>
    <x v="925"/>
    <x v="5"/>
    <x v="935"/>
    <x v="15"/>
    <x v="928"/>
    <x v="2"/>
    <x v="1"/>
  </r>
  <r>
    <x v="163"/>
    <x v="938"/>
    <x v="2"/>
    <x v="4"/>
    <x v="2"/>
    <x v="4"/>
    <x v="926"/>
    <x v="2"/>
    <x v="936"/>
    <x v="25"/>
    <x v="929"/>
    <x v="2"/>
    <x v="0"/>
  </r>
  <r>
    <x v="27"/>
    <x v="939"/>
    <x v="3"/>
    <x v="3"/>
    <x v="1"/>
    <x v="3"/>
    <x v="927"/>
    <x v="13"/>
    <x v="937"/>
    <x v="8"/>
    <x v="930"/>
    <x v="2"/>
    <x v="2"/>
  </r>
  <r>
    <x v="11"/>
    <x v="940"/>
    <x v="3"/>
    <x v="4"/>
    <x v="0"/>
    <x v="7"/>
    <x v="928"/>
    <x v="3"/>
    <x v="938"/>
    <x v="3"/>
    <x v="931"/>
    <x v="3"/>
    <x v="2"/>
  </r>
  <r>
    <x v="103"/>
    <x v="941"/>
    <x v="2"/>
    <x v="1"/>
    <x v="2"/>
    <x v="4"/>
    <x v="929"/>
    <x v="11"/>
    <x v="939"/>
    <x v="25"/>
    <x v="932"/>
    <x v="1"/>
    <x v="1"/>
  </r>
  <r>
    <x v="122"/>
    <x v="942"/>
    <x v="2"/>
    <x v="1"/>
    <x v="2"/>
    <x v="4"/>
    <x v="930"/>
    <x v="6"/>
    <x v="940"/>
    <x v="10"/>
    <x v="933"/>
    <x v="3"/>
    <x v="2"/>
  </r>
  <r>
    <x v="3"/>
    <x v="943"/>
    <x v="0"/>
    <x v="4"/>
    <x v="1"/>
    <x v="2"/>
    <x v="931"/>
    <x v="5"/>
    <x v="941"/>
    <x v="14"/>
    <x v="934"/>
    <x v="1"/>
    <x v="0"/>
  </r>
  <r>
    <x v="205"/>
    <x v="944"/>
    <x v="0"/>
    <x v="4"/>
    <x v="0"/>
    <x v="19"/>
    <x v="932"/>
    <x v="1"/>
    <x v="942"/>
    <x v="20"/>
    <x v="935"/>
    <x v="3"/>
    <x v="2"/>
  </r>
  <r>
    <x v="208"/>
    <x v="945"/>
    <x v="0"/>
    <x v="1"/>
    <x v="2"/>
    <x v="6"/>
    <x v="933"/>
    <x v="5"/>
    <x v="943"/>
    <x v="20"/>
    <x v="936"/>
    <x v="1"/>
    <x v="2"/>
  </r>
  <r>
    <x v="342"/>
    <x v="946"/>
    <x v="1"/>
    <x v="4"/>
    <x v="0"/>
    <x v="13"/>
    <x v="934"/>
    <x v="13"/>
    <x v="944"/>
    <x v="11"/>
    <x v="937"/>
    <x v="1"/>
    <x v="2"/>
  </r>
  <r>
    <x v="55"/>
    <x v="947"/>
    <x v="1"/>
    <x v="1"/>
    <x v="1"/>
    <x v="1"/>
    <x v="935"/>
    <x v="7"/>
    <x v="945"/>
    <x v="11"/>
    <x v="938"/>
    <x v="0"/>
    <x v="2"/>
  </r>
  <r>
    <x v="48"/>
    <x v="948"/>
    <x v="3"/>
    <x v="4"/>
    <x v="0"/>
    <x v="7"/>
    <x v="936"/>
    <x v="7"/>
    <x v="946"/>
    <x v="8"/>
    <x v="939"/>
    <x v="1"/>
    <x v="2"/>
  </r>
  <r>
    <x v="90"/>
    <x v="949"/>
    <x v="0"/>
    <x v="1"/>
    <x v="0"/>
    <x v="13"/>
    <x v="937"/>
    <x v="7"/>
    <x v="947"/>
    <x v="27"/>
    <x v="940"/>
    <x v="3"/>
    <x v="2"/>
  </r>
  <r>
    <x v="285"/>
    <x v="950"/>
    <x v="3"/>
    <x v="3"/>
    <x v="2"/>
    <x v="6"/>
    <x v="938"/>
    <x v="4"/>
    <x v="948"/>
    <x v="3"/>
    <x v="941"/>
    <x v="0"/>
    <x v="1"/>
  </r>
  <r>
    <x v="290"/>
    <x v="951"/>
    <x v="0"/>
    <x v="4"/>
    <x v="1"/>
    <x v="3"/>
    <x v="939"/>
    <x v="12"/>
    <x v="949"/>
    <x v="26"/>
    <x v="942"/>
    <x v="2"/>
    <x v="1"/>
  </r>
  <r>
    <x v="237"/>
    <x v="952"/>
    <x v="1"/>
    <x v="0"/>
    <x v="0"/>
    <x v="0"/>
    <x v="940"/>
    <x v="7"/>
    <x v="950"/>
    <x v="20"/>
    <x v="943"/>
    <x v="0"/>
    <x v="0"/>
  </r>
  <r>
    <x v="231"/>
    <x v="953"/>
    <x v="1"/>
    <x v="4"/>
    <x v="0"/>
    <x v="18"/>
    <x v="941"/>
    <x v="13"/>
    <x v="951"/>
    <x v="14"/>
    <x v="944"/>
    <x v="3"/>
    <x v="2"/>
  </r>
  <r>
    <x v="7"/>
    <x v="954"/>
    <x v="3"/>
    <x v="1"/>
    <x v="0"/>
    <x v="19"/>
    <x v="942"/>
    <x v="5"/>
    <x v="952"/>
    <x v="26"/>
    <x v="945"/>
    <x v="0"/>
    <x v="2"/>
  </r>
  <r>
    <x v="7"/>
    <x v="955"/>
    <x v="0"/>
    <x v="1"/>
    <x v="1"/>
    <x v="3"/>
    <x v="943"/>
    <x v="13"/>
    <x v="953"/>
    <x v="0"/>
    <x v="946"/>
    <x v="0"/>
    <x v="0"/>
  </r>
  <r>
    <x v="192"/>
    <x v="956"/>
    <x v="0"/>
    <x v="3"/>
    <x v="2"/>
    <x v="6"/>
    <x v="944"/>
    <x v="11"/>
    <x v="954"/>
    <x v="29"/>
    <x v="947"/>
    <x v="1"/>
    <x v="0"/>
  </r>
  <r>
    <x v="192"/>
    <x v="957"/>
    <x v="0"/>
    <x v="2"/>
    <x v="3"/>
    <x v="14"/>
    <x v="945"/>
    <x v="2"/>
    <x v="955"/>
    <x v="17"/>
    <x v="948"/>
    <x v="2"/>
    <x v="2"/>
  </r>
  <r>
    <x v="273"/>
    <x v="958"/>
    <x v="1"/>
    <x v="1"/>
    <x v="3"/>
    <x v="15"/>
    <x v="946"/>
    <x v="2"/>
    <x v="956"/>
    <x v="2"/>
    <x v="949"/>
    <x v="2"/>
    <x v="0"/>
  </r>
  <r>
    <x v="271"/>
    <x v="959"/>
    <x v="1"/>
    <x v="1"/>
    <x v="3"/>
    <x v="15"/>
    <x v="947"/>
    <x v="0"/>
    <x v="957"/>
    <x v="8"/>
    <x v="950"/>
    <x v="3"/>
    <x v="2"/>
  </r>
  <r>
    <x v="343"/>
    <x v="960"/>
    <x v="0"/>
    <x v="2"/>
    <x v="3"/>
    <x v="9"/>
    <x v="505"/>
    <x v="7"/>
    <x v="958"/>
    <x v="5"/>
    <x v="951"/>
    <x v="3"/>
    <x v="2"/>
  </r>
  <r>
    <x v="23"/>
    <x v="961"/>
    <x v="3"/>
    <x v="2"/>
    <x v="1"/>
    <x v="5"/>
    <x v="948"/>
    <x v="0"/>
    <x v="959"/>
    <x v="18"/>
    <x v="952"/>
    <x v="0"/>
    <x v="0"/>
  </r>
  <r>
    <x v="228"/>
    <x v="962"/>
    <x v="0"/>
    <x v="3"/>
    <x v="1"/>
    <x v="2"/>
    <x v="949"/>
    <x v="5"/>
    <x v="960"/>
    <x v="4"/>
    <x v="953"/>
    <x v="2"/>
    <x v="2"/>
  </r>
  <r>
    <x v="10"/>
    <x v="963"/>
    <x v="3"/>
    <x v="0"/>
    <x v="0"/>
    <x v="18"/>
    <x v="950"/>
    <x v="5"/>
    <x v="961"/>
    <x v="18"/>
    <x v="954"/>
    <x v="3"/>
    <x v="2"/>
  </r>
  <r>
    <x v="218"/>
    <x v="964"/>
    <x v="2"/>
    <x v="3"/>
    <x v="1"/>
    <x v="3"/>
    <x v="951"/>
    <x v="9"/>
    <x v="962"/>
    <x v="17"/>
    <x v="955"/>
    <x v="2"/>
    <x v="2"/>
  </r>
  <r>
    <x v="165"/>
    <x v="965"/>
    <x v="3"/>
    <x v="3"/>
    <x v="3"/>
    <x v="9"/>
    <x v="952"/>
    <x v="0"/>
    <x v="963"/>
    <x v="19"/>
    <x v="956"/>
    <x v="0"/>
    <x v="0"/>
  </r>
  <r>
    <x v="116"/>
    <x v="966"/>
    <x v="1"/>
    <x v="4"/>
    <x v="1"/>
    <x v="3"/>
    <x v="953"/>
    <x v="0"/>
    <x v="964"/>
    <x v="5"/>
    <x v="957"/>
    <x v="2"/>
    <x v="1"/>
  </r>
  <r>
    <x v="140"/>
    <x v="967"/>
    <x v="0"/>
    <x v="3"/>
    <x v="3"/>
    <x v="12"/>
    <x v="954"/>
    <x v="13"/>
    <x v="965"/>
    <x v="16"/>
    <x v="958"/>
    <x v="2"/>
    <x v="0"/>
  </r>
  <r>
    <x v="214"/>
    <x v="968"/>
    <x v="1"/>
    <x v="4"/>
    <x v="3"/>
    <x v="14"/>
    <x v="955"/>
    <x v="10"/>
    <x v="966"/>
    <x v="1"/>
    <x v="959"/>
    <x v="2"/>
    <x v="1"/>
  </r>
  <r>
    <x v="183"/>
    <x v="969"/>
    <x v="3"/>
    <x v="4"/>
    <x v="1"/>
    <x v="2"/>
    <x v="956"/>
    <x v="1"/>
    <x v="967"/>
    <x v="17"/>
    <x v="960"/>
    <x v="1"/>
    <x v="1"/>
  </r>
  <r>
    <x v="212"/>
    <x v="970"/>
    <x v="0"/>
    <x v="4"/>
    <x v="2"/>
    <x v="8"/>
    <x v="957"/>
    <x v="7"/>
    <x v="968"/>
    <x v="16"/>
    <x v="961"/>
    <x v="0"/>
    <x v="0"/>
  </r>
  <r>
    <x v="277"/>
    <x v="971"/>
    <x v="2"/>
    <x v="4"/>
    <x v="3"/>
    <x v="9"/>
    <x v="958"/>
    <x v="7"/>
    <x v="969"/>
    <x v="17"/>
    <x v="962"/>
    <x v="3"/>
    <x v="1"/>
  </r>
  <r>
    <x v="213"/>
    <x v="972"/>
    <x v="3"/>
    <x v="1"/>
    <x v="0"/>
    <x v="0"/>
    <x v="959"/>
    <x v="12"/>
    <x v="970"/>
    <x v="7"/>
    <x v="963"/>
    <x v="3"/>
    <x v="0"/>
  </r>
  <r>
    <x v="292"/>
    <x v="973"/>
    <x v="2"/>
    <x v="0"/>
    <x v="3"/>
    <x v="12"/>
    <x v="960"/>
    <x v="0"/>
    <x v="971"/>
    <x v="26"/>
    <x v="964"/>
    <x v="1"/>
    <x v="1"/>
  </r>
  <r>
    <x v="22"/>
    <x v="974"/>
    <x v="0"/>
    <x v="2"/>
    <x v="0"/>
    <x v="18"/>
    <x v="961"/>
    <x v="2"/>
    <x v="972"/>
    <x v="28"/>
    <x v="965"/>
    <x v="2"/>
    <x v="0"/>
  </r>
  <r>
    <x v="43"/>
    <x v="975"/>
    <x v="0"/>
    <x v="1"/>
    <x v="3"/>
    <x v="9"/>
    <x v="962"/>
    <x v="0"/>
    <x v="973"/>
    <x v="6"/>
    <x v="966"/>
    <x v="3"/>
    <x v="0"/>
  </r>
  <r>
    <x v="91"/>
    <x v="976"/>
    <x v="2"/>
    <x v="0"/>
    <x v="1"/>
    <x v="3"/>
    <x v="963"/>
    <x v="9"/>
    <x v="974"/>
    <x v="14"/>
    <x v="967"/>
    <x v="1"/>
    <x v="1"/>
  </r>
  <r>
    <x v="316"/>
    <x v="977"/>
    <x v="2"/>
    <x v="2"/>
    <x v="2"/>
    <x v="11"/>
    <x v="964"/>
    <x v="2"/>
    <x v="975"/>
    <x v="18"/>
    <x v="968"/>
    <x v="2"/>
    <x v="2"/>
  </r>
  <r>
    <x v="69"/>
    <x v="978"/>
    <x v="2"/>
    <x v="4"/>
    <x v="3"/>
    <x v="15"/>
    <x v="965"/>
    <x v="14"/>
    <x v="976"/>
    <x v="7"/>
    <x v="969"/>
    <x v="2"/>
    <x v="2"/>
  </r>
  <r>
    <x v="173"/>
    <x v="979"/>
    <x v="2"/>
    <x v="3"/>
    <x v="1"/>
    <x v="2"/>
    <x v="966"/>
    <x v="6"/>
    <x v="977"/>
    <x v="10"/>
    <x v="970"/>
    <x v="0"/>
    <x v="1"/>
  </r>
  <r>
    <x v="275"/>
    <x v="980"/>
    <x v="2"/>
    <x v="4"/>
    <x v="1"/>
    <x v="16"/>
    <x v="967"/>
    <x v="2"/>
    <x v="978"/>
    <x v="8"/>
    <x v="971"/>
    <x v="2"/>
    <x v="0"/>
  </r>
  <r>
    <x v="301"/>
    <x v="981"/>
    <x v="3"/>
    <x v="3"/>
    <x v="3"/>
    <x v="9"/>
    <x v="968"/>
    <x v="9"/>
    <x v="979"/>
    <x v="19"/>
    <x v="972"/>
    <x v="2"/>
    <x v="2"/>
  </r>
  <r>
    <x v="31"/>
    <x v="982"/>
    <x v="2"/>
    <x v="0"/>
    <x v="1"/>
    <x v="2"/>
    <x v="969"/>
    <x v="4"/>
    <x v="980"/>
    <x v="24"/>
    <x v="973"/>
    <x v="3"/>
    <x v="1"/>
  </r>
  <r>
    <x v="344"/>
    <x v="983"/>
    <x v="2"/>
    <x v="2"/>
    <x v="1"/>
    <x v="2"/>
    <x v="970"/>
    <x v="2"/>
    <x v="981"/>
    <x v="18"/>
    <x v="602"/>
    <x v="1"/>
    <x v="0"/>
  </r>
  <r>
    <x v="66"/>
    <x v="984"/>
    <x v="2"/>
    <x v="4"/>
    <x v="2"/>
    <x v="17"/>
    <x v="971"/>
    <x v="9"/>
    <x v="982"/>
    <x v="28"/>
    <x v="974"/>
    <x v="2"/>
    <x v="2"/>
  </r>
  <r>
    <x v="208"/>
    <x v="985"/>
    <x v="3"/>
    <x v="1"/>
    <x v="1"/>
    <x v="3"/>
    <x v="972"/>
    <x v="3"/>
    <x v="983"/>
    <x v="15"/>
    <x v="975"/>
    <x v="0"/>
    <x v="0"/>
  </r>
  <r>
    <x v="207"/>
    <x v="986"/>
    <x v="3"/>
    <x v="3"/>
    <x v="0"/>
    <x v="18"/>
    <x v="973"/>
    <x v="2"/>
    <x v="984"/>
    <x v="18"/>
    <x v="976"/>
    <x v="2"/>
    <x v="0"/>
  </r>
  <r>
    <x v="121"/>
    <x v="987"/>
    <x v="1"/>
    <x v="2"/>
    <x v="1"/>
    <x v="3"/>
    <x v="974"/>
    <x v="13"/>
    <x v="985"/>
    <x v="5"/>
    <x v="977"/>
    <x v="2"/>
    <x v="2"/>
  </r>
  <r>
    <x v="336"/>
    <x v="988"/>
    <x v="2"/>
    <x v="3"/>
    <x v="3"/>
    <x v="12"/>
    <x v="975"/>
    <x v="9"/>
    <x v="986"/>
    <x v="1"/>
    <x v="978"/>
    <x v="2"/>
    <x v="0"/>
  </r>
  <r>
    <x v="197"/>
    <x v="989"/>
    <x v="1"/>
    <x v="4"/>
    <x v="2"/>
    <x v="8"/>
    <x v="976"/>
    <x v="14"/>
    <x v="987"/>
    <x v="24"/>
    <x v="979"/>
    <x v="0"/>
    <x v="1"/>
  </r>
  <r>
    <x v="240"/>
    <x v="990"/>
    <x v="3"/>
    <x v="4"/>
    <x v="3"/>
    <x v="12"/>
    <x v="977"/>
    <x v="8"/>
    <x v="988"/>
    <x v="14"/>
    <x v="980"/>
    <x v="1"/>
    <x v="0"/>
  </r>
  <r>
    <x v="309"/>
    <x v="991"/>
    <x v="0"/>
    <x v="4"/>
    <x v="3"/>
    <x v="9"/>
    <x v="978"/>
    <x v="0"/>
    <x v="989"/>
    <x v="5"/>
    <x v="981"/>
    <x v="1"/>
    <x v="2"/>
  </r>
  <r>
    <x v="7"/>
    <x v="992"/>
    <x v="3"/>
    <x v="3"/>
    <x v="3"/>
    <x v="14"/>
    <x v="979"/>
    <x v="9"/>
    <x v="990"/>
    <x v="18"/>
    <x v="982"/>
    <x v="3"/>
    <x v="0"/>
  </r>
  <r>
    <x v="222"/>
    <x v="993"/>
    <x v="3"/>
    <x v="1"/>
    <x v="0"/>
    <x v="18"/>
    <x v="980"/>
    <x v="10"/>
    <x v="991"/>
    <x v="27"/>
    <x v="983"/>
    <x v="0"/>
    <x v="2"/>
  </r>
  <r>
    <x v="144"/>
    <x v="994"/>
    <x v="1"/>
    <x v="1"/>
    <x v="0"/>
    <x v="19"/>
    <x v="981"/>
    <x v="12"/>
    <x v="992"/>
    <x v="26"/>
    <x v="984"/>
    <x v="1"/>
    <x v="1"/>
  </r>
  <r>
    <x v="302"/>
    <x v="995"/>
    <x v="3"/>
    <x v="4"/>
    <x v="0"/>
    <x v="0"/>
    <x v="982"/>
    <x v="7"/>
    <x v="993"/>
    <x v="17"/>
    <x v="985"/>
    <x v="3"/>
    <x v="0"/>
  </r>
  <r>
    <x v="41"/>
    <x v="996"/>
    <x v="3"/>
    <x v="3"/>
    <x v="0"/>
    <x v="13"/>
    <x v="983"/>
    <x v="12"/>
    <x v="994"/>
    <x v="10"/>
    <x v="986"/>
    <x v="3"/>
    <x v="0"/>
  </r>
  <r>
    <x v="10"/>
    <x v="997"/>
    <x v="3"/>
    <x v="4"/>
    <x v="3"/>
    <x v="15"/>
    <x v="984"/>
    <x v="3"/>
    <x v="995"/>
    <x v="2"/>
    <x v="987"/>
    <x v="1"/>
    <x v="0"/>
  </r>
  <r>
    <x v="267"/>
    <x v="998"/>
    <x v="1"/>
    <x v="1"/>
    <x v="2"/>
    <x v="11"/>
    <x v="985"/>
    <x v="1"/>
    <x v="996"/>
    <x v="14"/>
    <x v="988"/>
    <x v="1"/>
    <x v="2"/>
  </r>
  <r>
    <x v="47"/>
    <x v="999"/>
    <x v="0"/>
    <x v="0"/>
    <x v="3"/>
    <x v="9"/>
    <x v="986"/>
    <x v="10"/>
    <x v="997"/>
    <x v="14"/>
    <x v="989"/>
    <x v="3"/>
    <x v="2"/>
  </r>
</pivotCacheRecords>
</file>

<file path=xl/pivotTables/_rels/pivotTable1.xml.rels>&#65279;<?xml version="1.0" encoding="utf-8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&#65279;<?xml version="1.0" encoding="utf-8"?><Relationships xmlns="http://schemas.openxmlformats.org/package/2006/relationships"><Relationship Id="rId2" Type="http://schemas.openxmlformats.org/officeDocument/2006/relationships/pivotCacheDefinition" Target="../pivotCache/pivotCacheDefinition1.xml" /></Relationships>
</file>

<file path=xl/pivotTables/_rels/pivotTable3.xml.rels>&#65279;<?xml version="1.0" encoding="utf-8"?><Relationships xmlns="http://schemas.openxmlformats.org/package/2006/relationships"><Relationship Id="rId3" Type="http://schemas.openxmlformats.org/officeDocument/2006/relationships/pivotCacheDefinition" Target="../pivotCache/pivotCacheDefinition1.xml" /></Relationships>
</file>

<file path=xl/pivotTables/_rels/pivotTable4.xml.rels>&#65279;<?xml version="1.0" encoding="utf-8"?><Relationships xmlns="http://schemas.openxmlformats.org/package/2006/relationships"><Relationship Id="rId4" Type="http://schemas.openxmlformats.org/officeDocument/2006/relationships/pivotCacheDefinition" Target="../pivotCache/pivotCacheDefinition1.xml" /></Relationships>
</file>

<file path=xl/pivotTables/_rels/pivotTable5.xml.rels>&#65279;<?xml version="1.0" encoding="utf-8"?><Relationships xmlns="http://schemas.openxmlformats.org/package/2006/relationships"><Relationship Id="rId5" Type="http://schemas.openxmlformats.org/officeDocument/2006/relationships/pivotCacheDefinition" Target="../pivotCache/pivotCacheDefinition2.xml" /></Relationships>
</file>

<file path=xl/pivotTables/_rels/pivotTable6.xml.rels>&#65279;<?xml version="1.0" encoding="utf-8"?><Relationships xmlns="http://schemas.openxmlformats.org/package/2006/relationships"><Relationship Id="rId6" Type="http://schemas.openxmlformats.org/officeDocument/2006/relationships/pivotCacheDefinition" Target="../pivotCache/pivotCacheDefinition2.xml" 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useAutoFormatting="1" createdVersion="5" indent="0" outline="1" outlineData="1" multipleFieldFilters="0">
  <location ref="A3:D5" firstHeaderRow="1" firstDataRow="2" firstDataCol="0"/>
  <pivotFields count="13">
    <pivotField showAll="0">
      <items count="346">
        <item x="105"/>
        <item x="338"/>
        <item x="18"/>
        <item x="76"/>
        <item x="330"/>
        <item x="74"/>
        <item x="178"/>
        <item x="126"/>
        <item x="58"/>
        <item x="4"/>
        <item x="65"/>
        <item x="341"/>
        <item x="302"/>
        <item x="34"/>
        <item x="343"/>
        <item x="185"/>
        <item x="223"/>
        <item x="193"/>
        <item x="204"/>
        <item x="257"/>
        <item x="219"/>
        <item x="3"/>
        <item x="148"/>
        <item x="87"/>
        <item x="320"/>
        <item x="268"/>
        <item x="234"/>
        <item x="269"/>
        <item x="129"/>
        <item x="82"/>
        <item x="188"/>
        <item x="315"/>
        <item x="267"/>
        <item x="303"/>
        <item x="13"/>
        <item x="248"/>
        <item x="66"/>
        <item x="339"/>
        <item x="260"/>
        <item x="64"/>
        <item x="336"/>
        <item x="145"/>
        <item x="277"/>
        <item x="259"/>
        <item x="293"/>
        <item x="155"/>
        <item x="309"/>
        <item x="107"/>
        <item x="300"/>
        <item x="203"/>
        <item x="217"/>
        <item x="140"/>
        <item x="40"/>
        <item x="229"/>
        <item x="75"/>
        <item x="122"/>
        <item x="136"/>
        <item x="88"/>
        <item x="10"/>
        <item x="221"/>
        <item x="61"/>
        <item x="2"/>
        <item x="89"/>
        <item x="95"/>
        <item x="109"/>
        <item x="276"/>
        <item x="270"/>
        <item x="295"/>
        <item x="25"/>
        <item x="243"/>
        <item x="85"/>
        <item x="319"/>
        <item x="340"/>
        <item x="104"/>
        <item x="247"/>
        <item x="106"/>
        <item x="79"/>
        <item x="205"/>
        <item x="44"/>
        <item x="131"/>
        <item x="67"/>
        <item x="141"/>
        <item x="90"/>
        <item x="152"/>
        <item x="179"/>
        <item x="266"/>
        <item x="180"/>
        <item x="146"/>
        <item x="218"/>
        <item x="227"/>
        <item x="177"/>
        <item x="1"/>
        <item x="118"/>
        <item x="160"/>
        <item x="133"/>
        <item x="47"/>
        <item x="69"/>
        <item x="35"/>
        <item x="162"/>
        <item x="53"/>
        <item x="144"/>
        <item x="195"/>
        <item x="115"/>
        <item x="235"/>
        <item x="190"/>
        <item x="189"/>
        <item x="121"/>
        <item x="5"/>
        <item x="289"/>
        <item x="167"/>
        <item x="28"/>
        <item x="209"/>
        <item x="181"/>
        <item x="124"/>
        <item x="329"/>
        <item x="249"/>
        <item x="17"/>
        <item x="83"/>
        <item x="15"/>
        <item x="286"/>
        <item x="186"/>
        <item x="246"/>
        <item x="200"/>
        <item x="24"/>
        <item x="326"/>
        <item x="253"/>
        <item x="93"/>
        <item x="55"/>
        <item x="114"/>
        <item x="112"/>
        <item x="280"/>
        <item x="241"/>
        <item x="308"/>
        <item x="134"/>
        <item x="108"/>
        <item x="211"/>
        <item x="135"/>
        <item x="333"/>
        <item x="175"/>
        <item x="331"/>
        <item x="168"/>
        <item x="37"/>
        <item x="201"/>
        <item x="127"/>
        <item x="29"/>
        <item x="291"/>
        <item x="33"/>
        <item x="27"/>
        <item x="94"/>
        <item x="60"/>
        <item x="306"/>
        <item x="30"/>
        <item x="287"/>
        <item x="213"/>
        <item x="103"/>
        <item x="198"/>
        <item x="153"/>
        <item x="322"/>
        <item x="196"/>
        <item x="210"/>
        <item x="342"/>
        <item x="239"/>
        <item x="137"/>
        <item x="59"/>
        <item x="176"/>
        <item x="54"/>
        <item x="194"/>
        <item x="9"/>
        <item x="251"/>
        <item x="143"/>
        <item x="128"/>
        <item x="318"/>
        <item x="22"/>
        <item x="68"/>
        <item x="78"/>
        <item x="150"/>
        <item x="301"/>
        <item x="130"/>
        <item x="307"/>
        <item x="207"/>
        <item x="165"/>
        <item x="335"/>
        <item x="20"/>
        <item x="147"/>
        <item x="123"/>
        <item x="278"/>
        <item x="172"/>
        <item x="310"/>
        <item x="323"/>
        <item x="245"/>
        <item x="283"/>
        <item x="298"/>
        <item x="237"/>
        <item x="57"/>
        <item x="202"/>
        <item x="312"/>
        <item x="261"/>
        <item x="183"/>
        <item x="274"/>
        <item x="174"/>
        <item x="14"/>
        <item x="233"/>
        <item x="254"/>
        <item x="199"/>
        <item x="224"/>
        <item x="139"/>
        <item x="72"/>
        <item x="232"/>
        <item x="252"/>
        <item x="282"/>
        <item x="6"/>
        <item x="244"/>
        <item x="258"/>
        <item x="314"/>
        <item x="31"/>
        <item x="187"/>
        <item x="272"/>
        <item x="111"/>
        <item x="220"/>
        <item x="225"/>
        <item x="16"/>
        <item x="265"/>
        <item x="48"/>
        <item x="216"/>
        <item x="305"/>
        <item x="42"/>
        <item x="197"/>
        <item x="344"/>
        <item x="275"/>
        <item x="288"/>
        <item x="285"/>
        <item x="324"/>
        <item x="191"/>
        <item x="26"/>
        <item x="119"/>
        <item x="290"/>
        <item x="62"/>
        <item x="98"/>
        <item x="101"/>
        <item x="81"/>
        <item x="19"/>
        <item x="71"/>
        <item x="256"/>
        <item x="215"/>
        <item x="231"/>
        <item x="161"/>
        <item x="120"/>
        <item x="296"/>
        <item x="97"/>
        <item x="46"/>
        <item x="23"/>
        <item x="41"/>
        <item x="264"/>
        <item x="157"/>
        <item x="159"/>
        <item x="102"/>
        <item x="96"/>
        <item x="294"/>
        <item x="325"/>
        <item x="86"/>
        <item x="151"/>
        <item x="110"/>
        <item x="154"/>
        <item x="52"/>
        <item x="38"/>
        <item x="56"/>
        <item x="91"/>
        <item x="337"/>
        <item x="208"/>
        <item x="77"/>
        <item x="39"/>
        <item x="158"/>
        <item x="45"/>
        <item x="240"/>
        <item x="142"/>
        <item x="0"/>
        <item x="49"/>
        <item x="304"/>
        <item x="279"/>
        <item x="43"/>
        <item x="50"/>
        <item x="299"/>
        <item x="36"/>
        <item x="184"/>
        <item x="182"/>
        <item x="230"/>
        <item x="332"/>
        <item x="226"/>
        <item x="214"/>
        <item x="116"/>
        <item x="138"/>
        <item x="117"/>
        <item x="262"/>
        <item x="273"/>
        <item x="292"/>
        <item x="192"/>
        <item x="164"/>
        <item x="321"/>
        <item x="334"/>
        <item x="236"/>
        <item x="113"/>
        <item x="132"/>
        <item x="317"/>
        <item x="311"/>
        <item x="263"/>
        <item x="70"/>
        <item x="242"/>
        <item x="100"/>
        <item x="32"/>
        <item x="173"/>
        <item x="297"/>
        <item x="281"/>
        <item x="206"/>
        <item x="149"/>
        <item x="284"/>
        <item x="51"/>
        <item x="84"/>
        <item x="171"/>
        <item x="125"/>
        <item x="99"/>
        <item x="92"/>
        <item x="170"/>
        <item x="7"/>
        <item x="169"/>
        <item x="250"/>
        <item x="80"/>
        <item x="8"/>
        <item x="327"/>
        <item x="238"/>
        <item x="313"/>
        <item x="228"/>
        <item x="163"/>
        <item x="316"/>
        <item x="212"/>
        <item x="156"/>
        <item x="11"/>
        <item x="271"/>
        <item x="63"/>
        <item x="328"/>
        <item x="21"/>
        <item x="73"/>
        <item x="222"/>
        <item x="166"/>
        <item x="255"/>
        <item x="12"/>
        <item t="default"/>
      </items>
    </pivotField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21">
        <item x="0"/>
        <item x="9"/>
        <item x="10"/>
        <item x="12"/>
        <item x="7"/>
        <item x="2"/>
        <item x="6"/>
        <item x="5"/>
        <item x="3"/>
        <item x="14"/>
        <item x="8"/>
        <item x="4"/>
        <item x="13"/>
        <item x="19"/>
        <item x="11"/>
        <item x="16"/>
        <item x="15"/>
        <item x="18"/>
        <item x="17"/>
        <item x="1"/>
        <item t="default"/>
      </items>
    </pivotField>
    <pivotField showAll="0">
      <items count="988">
        <item x="332"/>
        <item x="245"/>
        <item x="643"/>
        <item x="357"/>
        <item x="618"/>
        <item x="10"/>
        <item x="432"/>
        <item x="738"/>
        <item x="187"/>
        <item x="886"/>
        <item x="658"/>
        <item x="208"/>
        <item x="43"/>
        <item x="977"/>
        <item x="767"/>
        <item x="397"/>
        <item x="55"/>
        <item x="249"/>
        <item x="358"/>
        <item x="168"/>
        <item x="129"/>
        <item x="690"/>
        <item x="664"/>
        <item x="936"/>
        <item x="585"/>
        <item x="430"/>
        <item x="391"/>
        <item x="349"/>
        <item x="455"/>
        <item x="147"/>
        <item x="84"/>
        <item x="896"/>
        <item x="511"/>
        <item x="908"/>
        <item x="588"/>
        <item x="416"/>
        <item x="938"/>
        <item x="915"/>
        <item x="36"/>
        <item x="374"/>
        <item x="932"/>
        <item x="19"/>
        <item x="502"/>
        <item x="857"/>
        <item x="436"/>
        <item x="716"/>
        <item x="902"/>
        <item x="834"/>
        <item x="918"/>
        <item x="132"/>
        <item x="287"/>
        <item x="714"/>
        <item x="165"/>
        <item x="58"/>
        <item x="153"/>
        <item x="188"/>
        <item x="967"/>
        <item x="913"/>
        <item x="572"/>
        <item x="735"/>
        <item x="267"/>
        <item x="90"/>
        <item x="264"/>
        <item x="306"/>
        <item x="260"/>
        <item x="137"/>
        <item x="390"/>
        <item x="224"/>
        <item x="157"/>
        <item x="235"/>
        <item x="659"/>
        <item x="124"/>
        <item x="336"/>
        <item x="542"/>
        <item x="108"/>
        <item x="856"/>
        <item x="789"/>
        <item x="334"/>
        <item x="638"/>
        <item x="76"/>
        <item x="182"/>
        <item x="359"/>
        <item x="541"/>
        <item x="209"/>
        <item x="1"/>
        <item x="183"/>
        <item x="501"/>
        <item x="499"/>
        <item x="186"/>
        <item x="818"/>
        <item x="191"/>
        <item x="262"/>
        <item x="77"/>
        <item x="483"/>
        <item x="352"/>
        <item x="42"/>
        <item x="247"/>
        <item x="526"/>
        <item x="49"/>
        <item x="213"/>
        <item x="927"/>
        <item x="81"/>
        <item x="823"/>
        <item x="606"/>
        <item x="858"/>
        <item x="5"/>
        <item x="726"/>
        <item x="497"/>
        <item x="816"/>
        <item x="53"/>
        <item x="283"/>
        <item x="667"/>
        <item x="769"/>
        <item x="592"/>
        <item x="141"/>
        <item x="314"/>
        <item x="114"/>
        <item x="109"/>
        <item x="176"/>
        <item x="307"/>
        <item x="464"/>
        <item x="419"/>
        <item x="577"/>
        <item x="71"/>
        <item x="899"/>
        <item x="292"/>
        <item x="771"/>
        <item x="931"/>
        <item x="3"/>
        <item x="757"/>
        <item x="749"/>
        <item x="22"/>
        <item x="184"/>
        <item x="21"/>
        <item x="725"/>
        <item x="824"/>
        <item x="877"/>
        <item x="623"/>
        <item x="648"/>
        <item x="947"/>
        <item x="441"/>
        <item x="386"/>
        <item x="677"/>
        <item x="732"/>
        <item x="45"/>
        <item x="979"/>
        <item x="60"/>
        <item x="683"/>
        <item x="4"/>
        <item x="143"/>
        <item x="792"/>
        <item x="122"/>
        <item x="472"/>
        <item x="128"/>
        <item x="801"/>
        <item x="229"/>
        <item x="609"/>
        <item x="933"/>
        <item x="863"/>
        <item x="180"/>
        <item x="2"/>
        <item x="204"/>
        <item x="847"/>
        <item x="331"/>
        <item x="670"/>
        <item x="570"/>
        <item x="451"/>
        <item x="620"/>
        <item x="661"/>
        <item x="69"/>
        <item x="713"/>
        <item x="964"/>
        <item x="697"/>
        <item x="731"/>
        <item x="807"/>
        <item x="244"/>
        <item x="339"/>
        <item x="783"/>
        <item x="447"/>
        <item x="111"/>
        <item x="859"/>
        <item x="586"/>
        <item x="39"/>
        <item x="431"/>
        <item x="263"/>
        <item x="891"/>
        <item x="974"/>
        <item x="218"/>
        <item x="978"/>
        <item x="327"/>
        <item x="986"/>
        <item x="660"/>
        <item x="900"/>
        <item x="678"/>
        <item x="954"/>
        <item x="246"/>
        <item x="599"/>
        <item x="608"/>
        <item x="822"/>
        <item x="456"/>
        <item x="234"/>
        <item x="422"/>
        <item x="698"/>
        <item x="559"/>
        <item x="508"/>
        <item x="652"/>
        <item x="251"/>
        <item x="934"/>
        <item x="729"/>
        <item x="803"/>
        <item x="265"/>
        <item x="912"/>
        <item x="958"/>
        <item x="254"/>
        <item x="33"/>
        <item x="557"/>
        <item x="602"/>
        <item x="286"/>
        <item x="921"/>
        <item x="672"/>
        <item x="920"/>
        <item x="898"/>
        <item x="613"/>
        <item x="815"/>
        <item x="940"/>
        <item x="403"/>
        <item x="250"/>
        <item x="105"/>
        <item x="551"/>
        <item x="368"/>
        <item x="202"/>
        <item x="325"/>
        <item x="703"/>
        <item x="435"/>
        <item x="554"/>
        <item x="761"/>
        <item x="194"/>
        <item x="741"/>
        <item x="170"/>
        <item x="611"/>
        <item x="6"/>
        <item x="849"/>
        <item x="446"/>
        <item x="70"/>
        <item x="710"/>
        <item x="800"/>
        <item x="830"/>
        <item x="583"/>
        <item x="38"/>
        <item x="512"/>
        <item x="100"/>
        <item x="173"/>
        <item x="634"/>
        <item x="622"/>
        <item x="968"/>
        <item x="985"/>
        <item x="983"/>
        <item x="922"/>
        <item x="812"/>
        <item x="288"/>
        <item x="625"/>
        <item x="549"/>
        <item x="82"/>
        <item x="939"/>
        <item x="748"/>
        <item x="96"/>
        <item x="598"/>
        <item x="479"/>
        <item x="28"/>
        <item x="151"/>
        <item x="584"/>
        <item x="347"/>
        <item x="865"/>
        <item x="537"/>
        <item x="134"/>
        <item x="238"/>
        <item x="928"/>
        <item x="903"/>
        <item x="102"/>
        <item x="730"/>
        <item x="520"/>
        <item x="466"/>
        <item x="269"/>
        <item x="415"/>
        <item x="23"/>
        <item x="220"/>
        <item x="885"/>
        <item x="879"/>
        <item x="148"/>
        <item x="860"/>
        <item x="345"/>
        <item x="711"/>
        <item x="675"/>
        <item x="835"/>
        <item x="890"/>
        <item x="200"/>
        <item x="635"/>
        <item x="882"/>
        <item x="523"/>
        <item x="232"/>
        <item x="223"/>
        <item x="315"/>
        <item x="795"/>
        <item x="984"/>
        <item x="935"/>
        <item x="717"/>
        <item x="385"/>
        <item x="569"/>
        <item x="530"/>
        <item x="461"/>
        <item x="953"/>
        <item x="905"/>
        <item x="699"/>
        <item x="740"/>
        <item x="580"/>
        <item x="156"/>
        <item x="797"/>
        <item x="679"/>
        <item x="862"/>
        <item x="751"/>
        <item x="762"/>
        <item x="482"/>
        <item x="409"/>
        <item x="547"/>
        <item x="724"/>
        <item x="384"/>
        <item x="923"/>
        <item x="720"/>
        <item x="617"/>
        <item x="152"/>
        <item x="424"/>
        <item x="808"/>
        <item x="791"/>
        <item x="777"/>
        <item x="389"/>
        <item x="562"/>
        <item x="528"/>
        <item x="651"/>
        <item x="103"/>
        <item x="952"/>
        <item x="126"/>
        <item x="794"/>
        <item x="284"/>
        <item x="401"/>
        <item x="138"/>
        <item x="641"/>
        <item x="682"/>
        <item x="255"/>
        <item x="796"/>
        <item x="811"/>
        <item x="26"/>
        <item x="361"/>
        <item x="145"/>
        <item x="24"/>
        <item x="274"/>
        <item x="445"/>
        <item x="702"/>
        <item x="350"/>
        <item x="353"/>
        <item x="707"/>
        <item x="146"/>
        <item x="428"/>
        <item x="970"/>
        <item x="140"/>
        <item x="567"/>
        <item x="330"/>
        <item x="642"/>
        <item x="15"/>
        <item x="273"/>
        <item x="20"/>
        <item x="97"/>
        <item x="644"/>
        <item x="504"/>
        <item x="676"/>
        <item x="480"/>
        <item x="236"/>
        <item x="904"/>
        <item x="701"/>
        <item x="624"/>
        <item x="531"/>
        <item x="534"/>
        <item x="133"/>
        <item x="721"/>
        <item x="321"/>
        <item x="372"/>
        <item x="206"/>
        <item x="610"/>
        <item x="463"/>
        <item x="115"/>
        <item x="68"/>
        <item x="379"/>
        <item x="373"/>
        <item x="326"/>
        <item x="305"/>
        <item x="120"/>
        <item x="160"/>
        <item x="636"/>
        <item x="686"/>
        <item x="700"/>
        <item x="516"/>
        <item x="957"/>
        <item x="910"/>
        <item x="104"/>
        <item x="452"/>
        <item x="571"/>
        <item x="119"/>
        <item x="850"/>
        <item x="673"/>
        <item x="781"/>
        <item x="491"/>
        <item x="848"/>
        <item x="962"/>
        <item x="510"/>
        <item x="821"/>
        <item x="603"/>
        <item x="74"/>
        <item x="640"/>
        <item x="843"/>
        <item x="150"/>
        <item x="237"/>
        <item x="289"/>
        <item x="468"/>
        <item x="83"/>
        <item x="46"/>
        <item x="708"/>
        <item x="92"/>
        <item x="362"/>
        <item x="566"/>
        <item x="509"/>
        <item x="396"/>
        <item x="65"/>
        <item x="344"/>
        <item x="231"/>
        <item x="727"/>
        <item x="356"/>
        <item x="742"/>
        <item x="627"/>
        <item x="876"/>
        <item x="375"/>
        <item x="955"/>
        <item x="253"/>
        <item x="719"/>
        <item x="136"/>
        <item x="706"/>
        <item x="734"/>
        <item x="498"/>
        <item x="579"/>
        <item x="18"/>
        <item x="142"/>
        <item x="844"/>
        <item x="302"/>
        <item x="322"/>
        <item x="318"/>
        <item x="230"/>
        <item x="628"/>
        <item x="758"/>
        <item x="780"/>
        <item x="454"/>
        <item x="696"/>
        <item x="874"/>
        <item x="25"/>
        <item x="535"/>
        <item x="895"/>
        <item x="205"/>
        <item x="578"/>
        <item x="692"/>
        <item x="590"/>
        <item x="410"/>
        <item x="189"/>
        <item x="355"/>
        <item x="515"/>
        <item x="290"/>
        <item x="16"/>
        <item x="650"/>
        <item x="376"/>
        <item x="743"/>
        <item x="867"/>
        <item x="490"/>
        <item x="420"/>
        <item x="878"/>
        <item x="225"/>
        <item x="814"/>
        <item x="949"/>
        <item x="113"/>
        <item x="392"/>
        <item x="688"/>
        <item x="457"/>
        <item x="897"/>
        <item x="280"/>
        <item x="759"/>
        <item x="474"/>
        <item x="11"/>
        <item x="159"/>
        <item x="773"/>
        <item x="746"/>
        <item x="406"/>
        <item x="864"/>
        <item x="402"/>
        <item x="450"/>
        <item x="871"/>
        <item x="829"/>
        <item x="178"/>
        <item x="805"/>
        <item x="924"/>
        <item x="632"/>
        <item x="467"/>
        <item x="656"/>
        <item x="980"/>
        <item x="291"/>
        <item x="556"/>
        <item x="911"/>
        <item x="135"/>
        <item x="272"/>
        <item x="369"/>
        <item x="130"/>
        <item x="239"/>
        <item x="630"/>
        <item x="319"/>
        <item x="340"/>
        <item x="41"/>
        <item x="492"/>
        <item x="8"/>
        <item x="211"/>
        <item x="112"/>
        <item x="278"/>
        <item x="363"/>
        <item x="121"/>
        <item x="294"/>
        <item x="842"/>
        <item x="546"/>
        <item x="637"/>
        <item x="533"/>
        <item x="884"/>
        <item x="177"/>
        <item x="0"/>
        <item x="704"/>
        <item x="201"/>
        <item x="61"/>
        <item x="831"/>
        <item x="753"/>
        <item x="755"/>
        <item x="167"/>
        <item x="894"/>
        <item x="961"/>
        <item x="475"/>
        <item x="107"/>
        <item x="32"/>
        <item x="298"/>
        <item x="261"/>
        <item x="853"/>
        <item x="423"/>
        <item x="493"/>
        <item x="85"/>
        <item x="649"/>
        <item x="421"/>
        <item x="335"/>
        <item x="346"/>
        <item x="34"/>
        <item x="366"/>
        <item x="722"/>
        <item x="486"/>
        <item x="44"/>
        <item x="166"/>
        <item x="169"/>
        <item x="378"/>
        <item x="106"/>
        <item x="257"/>
        <item x="826"/>
        <item x="88"/>
        <item x="277"/>
        <item x="950"/>
        <item x="662"/>
        <item x="123"/>
        <item x="744"/>
        <item x="774"/>
        <item x="851"/>
        <item x="654"/>
        <item x="845"/>
        <item x="364"/>
        <item x="459"/>
        <item x="827"/>
        <item x="75"/>
        <item x="565"/>
        <item x="496"/>
        <item x="872"/>
        <item x="14"/>
        <item x="212"/>
        <item x="35"/>
        <item x="548"/>
        <item x="951"/>
        <item x="309"/>
        <item x="215"/>
        <item x="552"/>
        <item x="328"/>
        <item x="838"/>
        <item x="519"/>
        <item x="63"/>
        <item x="527"/>
        <item x="59"/>
        <item x="581"/>
        <item x="646"/>
        <item x="181"/>
        <item x="324"/>
        <item x="663"/>
        <item x="507"/>
        <item x="612"/>
        <item x="626"/>
        <item x="73"/>
        <item x="275"/>
        <item x="754"/>
        <item x="737"/>
        <item x="505"/>
        <item x="190"/>
        <item x="799"/>
        <item x="31"/>
        <item x="487"/>
        <item x="563"/>
        <item x="149"/>
        <item x="412"/>
        <item x="568"/>
        <item x="57"/>
        <item x="560"/>
        <item x="470"/>
        <item x="242"/>
        <item x="854"/>
        <item x="333"/>
        <item x="575"/>
        <item x="691"/>
        <item x="657"/>
        <item x="532"/>
        <item x="338"/>
        <item x="817"/>
        <item x="784"/>
        <item x="776"/>
        <item x="647"/>
        <item x="465"/>
        <item x="185"/>
        <item x="852"/>
        <item x="802"/>
        <item x="427"/>
        <item x="685"/>
        <item x="887"/>
        <item x="248"/>
        <item x="615"/>
        <item x="300"/>
        <item x="270"/>
        <item x="564"/>
        <item x="469"/>
        <item x="782"/>
        <item x="342"/>
        <item x="162"/>
        <item x="825"/>
        <item x="271"/>
        <item x="668"/>
        <item x="806"/>
        <item x="279"/>
        <item x="621"/>
        <item x="383"/>
        <item x="941"/>
        <item x="460"/>
        <item x="919"/>
        <item x="942"/>
        <item x="917"/>
        <item x="52"/>
        <item x="179"/>
        <item x="553"/>
        <item x="414"/>
        <item x="513"/>
        <item x="425"/>
        <item x="906"/>
        <item x="214"/>
        <item x="163"/>
        <item x="395"/>
        <item x="689"/>
        <item x="360"/>
        <item x="503"/>
        <item x="909"/>
        <item x="550"/>
        <item x="976"/>
        <item x="243"/>
        <item x="99"/>
        <item x="407"/>
        <item x="538"/>
        <item x="597"/>
        <item x="478"/>
        <item x="604"/>
        <item x="116"/>
        <item x="434"/>
        <item x="593"/>
        <item x="963"/>
        <item x="790"/>
        <item x="763"/>
        <item x="836"/>
        <item x="171"/>
        <item x="484"/>
        <item x="443"/>
        <item x="655"/>
        <item x="514"/>
        <item x="174"/>
        <item x="709"/>
        <item x="529"/>
        <item x="607"/>
        <item x="348"/>
        <item x="561"/>
        <item x="252"/>
        <item x="591"/>
        <item x="555"/>
        <item x="471"/>
        <item x="787"/>
        <item x="832"/>
        <item x="40"/>
        <item x="785"/>
        <item x="828"/>
        <item x="489"/>
        <item x="66"/>
        <item x="12"/>
        <item x="258"/>
        <item x="164"/>
        <item x="117"/>
        <item x="56"/>
        <item x="846"/>
        <item x="669"/>
        <item x="943"/>
        <item x="317"/>
        <item x="207"/>
        <item x="681"/>
        <item x="495"/>
        <item x="282"/>
        <item x="596"/>
        <item x="680"/>
        <item x="222"/>
        <item x="718"/>
        <item x="95"/>
        <item x="266"/>
        <item x="91"/>
        <item x="17"/>
        <item x="303"/>
        <item x="756"/>
        <item x="521"/>
        <item x="937"/>
        <item x="500"/>
        <item x="798"/>
        <item x="665"/>
        <item x="72"/>
        <item x="760"/>
        <item x="296"/>
        <item x="788"/>
        <item x="240"/>
        <item x="539"/>
        <item x="694"/>
        <item x="705"/>
        <item x="118"/>
        <item x="687"/>
        <item x="371"/>
        <item x="67"/>
        <item x="227"/>
        <item x="93"/>
        <item x="295"/>
        <item x="400"/>
        <item x="195"/>
        <item x="969"/>
        <item x="343"/>
        <item x="50"/>
        <item x="973"/>
        <item x="399"/>
        <item x="448"/>
        <item x="870"/>
        <item x="196"/>
        <item x="370"/>
        <item x="594"/>
        <item x="926"/>
        <item x="94"/>
        <item x="293"/>
        <item x="9"/>
        <item x="433"/>
        <item x="775"/>
        <item x="786"/>
        <item x="605"/>
        <item x="892"/>
        <item x="221"/>
        <item x="485"/>
        <item x="54"/>
        <item x="666"/>
        <item x="313"/>
        <item x="589"/>
        <item x="259"/>
        <item x="219"/>
        <item x="193"/>
        <item x="449"/>
        <item x="154"/>
        <item x="98"/>
        <item x="966"/>
        <item x="101"/>
        <item x="438"/>
        <item x="868"/>
        <item x="820"/>
        <item x="494"/>
        <item x="518"/>
        <item x="203"/>
        <item x="367"/>
        <item x="127"/>
        <item x="712"/>
        <item x="778"/>
        <item x="971"/>
        <item x="981"/>
        <item x="574"/>
        <item x="439"/>
        <item x="110"/>
        <item x="840"/>
        <item x="869"/>
        <item x="793"/>
        <item x="394"/>
        <item x="779"/>
        <item x="866"/>
        <item x="982"/>
        <item x="256"/>
        <item x="653"/>
        <item x="875"/>
        <item x="750"/>
        <item x="48"/>
        <item x="772"/>
        <item x="916"/>
        <item x="304"/>
        <item x="587"/>
        <item x="329"/>
        <item x="914"/>
        <item x="972"/>
        <item x="883"/>
        <item x="354"/>
        <item x="833"/>
        <item x="37"/>
        <item x="323"/>
        <item x="316"/>
        <item x="29"/>
        <item x="87"/>
        <item x="960"/>
        <item x="733"/>
        <item x="506"/>
        <item x="956"/>
        <item x="517"/>
        <item x="301"/>
        <item x="442"/>
        <item x="855"/>
        <item x="813"/>
        <item x="78"/>
        <item x="417"/>
        <item x="645"/>
        <item x="965"/>
        <item x="888"/>
        <item x="558"/>
        <item x="380"/>
        <item x="674"/>
        <item x="695"/>
        <item x="544"/>
        <item x="946"/>
        <item x="582"/>
        <item x="158"/>
        <item x="351"/>
        <item x="929"/>
        <item x="747"/>
        <item x="945"/>
        <item x="536"/>
        <item x="398"/>
        <item x="388"/>
        <item x="889"/>
        <item x="51"/>
        <item x="387"/>
        <item x="381"/>
        <item x="408"/>
        <item x="89"/>
        <item x="161"/>
        <item x="804"/>
        <item x="125"/>
        <item x="873"/>
        <item x="715"/>
        <item x="739"/>
        <item x="175"/>
        <item x="524"/>
        <item x="285"/>
        <item x="382"/>
        <item x="893"/>
        <item x="752"/>
        <item x="228"/>
        <item x="192"/>
        <item x="614"/>
        <item x="768"/>
        <item x="64"/>
        <item x="393"/>
        <item x="312"/>
        <item x="765"/>
        <item x="633"/>
        <item x="881"/>
        <item x="426"/>
        <item x="241"/>
        <item x="139"/>
        <item x="545"/>
        <item x="975"/>
        <item x="473"/>
        <item x="411"/>
        <item x="907"/>
        <item x="573"/>
        <item x="671"/>
        <item x="27"/>
        <item x="684"/>
        <item x="948"/>
        <item x="525"/>
        <item x="131"/>
        <item x="404"/>
        <item x="440"/>
        <item x="819"/>
        <item x="959"/>
        <item x="299"/>
        <item x="462"/>
        <item x="233"/>
        <item x="476"/>
        <item x="418"/>
        <item x="477"/>
        <item x="217"/>
        <item x="365"/>
        <item x="30"/>
        <item x="144"/>
        <item x="925"/>
        <item x="337"/>
        <item x="341"/>
        <item x="377"/>
        <item x="413"/>
        <item x="7"/>
        <item x="736"/>
        <item x="210"/>
        <item x="809"/>
        <item x="764"/>
        <item x="619"/>
        <item x="405"/>
        <item x="770"/>
        <item x="522"/>
        <item x="745"/>
        <item x="311"/>
        <item x="723"/>
        <item x="693"/>
        <item x="766"/>
        <item x="13"/>
        <item x="62"/>
        <item x="320"/>
        <item x="861"/>
        <item x="639"/>
        <item x="600"/>
        <item x="79"/>
        <item x="728"/>
        <item x="429"/>
        <item x="199"/>
        <item x="86"/>
        <item x="616"/>
        <item x="297"/>
        <item x="543"/>
        <item x="631"/>
        <item x="310"/>
        <item x="268"/>
        <item x="198"/>
        <item x="226"/>
        <item x="444"/>
        <item x="629"/>
        <item x="481"/>
        <item x="601"/>
        <item x="488"/>
        <item x="810"/>
        <item x="944"/>
        <item x="47"/>
        <item x="595"/>
        <item x="308"/>
        <item x="276"/>
        <item x="281"/>
        <item x="930"/>
        <item x="458"/>
        <item x="155"/>
        <item x="576"/>
        <item x="453"/>
        <item x="839"/>
        <item x="437"/>
        <item x="197"/>
        <item x="880"/>
        <item x="172"/>
        <item x="837"/>
        <item x="901"/>
        <item x="540"/>
        <item x="841"/>
        <item x="80"/>
        <item x="216"/>
        <item t="default"/>
      </items>
    </pivotField>
    <pivotField showAll="0">
      <items count="16">
        <item x="11"/>
        <item x="0"/>
        <item x="13"/>
        <item x="3"/>
        <item x="2"/>
        <item x="7"/>
        <item x="4"/>
        <item x="6"/>
        <item x="1"/>
        <item x="10"/>
        <item x="9"/>
        <item x="5"/>
        <item x="14"/>
        <item x="12"/>
        <item x="8"/>
        <item t="default"/>
      </items>
    </pivotField>
    <pivotField dataField="1" showAll="0">
      <items count="999">
        <item x="645"/>
        <item x="620"/>
        <item x="359"/>
        <item x="10"/>
        <item x="43"/>
        <item x="716"/>
        <item x="137"/>
        <item x="392"/>
        <item x="794"/>
        <item x="245"/>
        <item x="316"/>
        <item x="692"/>
        <item x="771"/>
        <item x="885"/>
        <item x="45"/>
        <item x="474"/>
        <item x="611"/>
        <item x="129"/>
        <item x="336"/>
        <item x="788"/>
        <item x="543"/>
        <item x="208"/>
        <item x="334"/>
        <item x="55"/>
        <item x="587"/>
        <item x="448"/>
        <item x="168"/>
        <item x="70"/>
        <item x="141"/>
        <item x="113"/>
        <item x="235"/>
        <item x="741"/>
        <item x="661"/>
        <item x="309"/>
        <item x="124"/>
        <item x="775"/>
        <item x="946"/>
        <item x="23"/>
        <item x="957"/>
        <item x="258"/>
        <item x="677"/>
        <item x="841"/>
        <item x="899"/>
        <item x="58"/>
        <item x="525"/>
        <item x="153"/>
        <item x="513"/>
        <item x="660"/>
        <item x="103"/>
        <item x="799"/>
        <item x="937"/>
        <item x="925"/>
        <item x="187"/>
        <item x="236"/>
        <item x="894"/>
        <item x="188"/>
        <item x="978"/>
        <item x="948"/>
        <item x="824"/>
        <item x="989"/>
        <item x="266"/>
        <item x="910"/>
        <item x="399"/>
        <item x="83"/>
        <item x="434"/>
        <item x="376"/>
        <item x="730"/>
        <item x="432"/>
        <item x="255"/>
        <item x="443"/>
        <item x="666"/>
        <item x="500"/>
        <item x="735"/>
        <item x="25"/>
        <item x="864"/>
        <item x="685"/>
        <item x="640"/>
        <item x="378"/>
        <item x="764"/>
        <item x="918"/>
        <item x="744"/>
        <item x="186"/>
        <item x="613"/>
        <item x="6"/>
        <item x="404"/>
        <item x="249"/>
        <item x="988"/>
        <item x="371"/>
        <item x="494"/>
        <item x="38"/>
        <item x="942"/>
        <item x="3"/>
        <item x="368"/>
        <item x="169"/>
        <item x="812"/>
        <item x="28"/>
        <item x="184"/>
        <item x="213"/>
        <item x="733"/>
        <item x="19"/>
        <item x="360"/>
        <item x="583"/>
        <item x="985"/>
        <item x="165"/>
        <item x="277"/>
        <item x="965"/>
        <item x="463"/>
        <item x="147"/>
        <item x="964"/>
        <item x="693"/>
        <item x="84"/>
        <item x="393"/>
        <item x="765"/>
        <item x="549"/>
        <item x="944"/>
        <item x="840"/>
        <item x="272"/>
        <item x="457"/>
        <item x="344"/>
        <item x="162"/>
        <item x="386"/>
        <item x="528"/>
        <item x="152"/>
        <item x="76"/>
        <item x="672"/>
        <item x="604"/>
        <item x="71"/>
        <item x="564"/>
        <item x="930"/>
        <item x="351"/>
        <item x="436"/>
        <item x="572"/>
        <item x="963"/>
        <item x="453"/>
        <item x="250"/>
        <item x="355"/>
        <item x="590"/>
        <item x="865"/>
        <item x="928"/>
        <item x="262"/>
        <item x="132"/>
        <item x="523"/>
        <item x="97"/>
        <item x="863"/>
        <item x="763"/>
        <item x="906"/>
        <item x="914"/>
        <item x="244"/>
        <item x="689"/>
        <item x="536"/>
        <item x="195"/>
        <item x="345"/>
        <item x="438"/>
        <item x="866"/>
        <item x="836"/>
        <item x="361"/>
        <item x="591"/>
        <item x="876"/>
        <item x="119"/>
        <item x="229"/>
        <item x="847"/>
        <item x="421"/>
        <item x="493"/>
        <item x="873"/>
        <item x="308"/>
        <item x="973"/>
        <item x="2"/>
        <item x="680"/>
        <item x="74"/>
        <item x="627"/>
        <item x="458"/>
        <item x="444"/>
        <item x="5"/>
        <item x="418"/>
        <item x="854"/>
        <item x="333"/>
        <item x="751"/>
        <item x="291"/>
        <item x="151"/>
        <item x="923"/>
        <item x="939"/>
        <item x="913"/>
        <item x="346"/>
        <item x="231"/>
        <item x="175"/>
        <item x="922"/>
        <item x="417"/>
        <item x="1"/>
        <item x="428"/>
        <item x="503"/>
        <item x="475"/>
        <item x="708"/>
        <item x="501"/>
        <item x="713"/>
        <item x="36"/>
        <item x="320"/>
        <item x="504"/>
        <item x="630"/>
        <item x="912"/>
        <item x="975"/>
        <item x="191"/>
        <item x="574"/>
        <item x="734"/>
        <item x="77"/>
        <item x="797"/>
        <item x="122"/>
        <item x="829"/>
        <item x="608"/>
        <item x="327"/>
        <item x="446"/>
        <item x="705"/>
        <item x="954"/>
        <item x="354"/>
        <item x="182"/>
        <item x="42"/>
        <item x="718"/>
        <item x="194"/>
        <item x="21"/>
        <item x="813"/>
        <item x="728"/>
        <item x="452"/>
        <item x="285"/>
        <item x="738"/>
        <item x="712"/>
        <item x="610"/>
        <item x="264"/>
        <item x="130"/>
        <item x="643"/>
        <item x="817"/>
        <item x="211"/>
        <item x="636"/>
        <item x="0"/>
        <item x="60"/>
        <item x="116"/>
        <item x="477"/>
        <item x="32"/>
        <item x="729"/>
        <item x="860"/>
        <item x="140"/>
        <item x="289"/>
        <item x="337"/>
        <item x="806"/>
        <item x="44"/>
        <item x="90"/>
        <item x="832"/>
        <item x="539"/>
        <item x="664"/>
        <item x="723"/>
        <item x="938"/>
        <item x="465"/>
        <item x="858"/>
        <item x="522"/>
        <item x="105"/>
        <item x="183"/>
        <item x="148"/>
        <item x="269"/>
        <item x="995"/>
        <item x="570"/>
        <item x="49"/>
        <item x="760"/>
        <item x="143"/>
        <item x="582"/>
        <item x="900"/>
        <item x="338"/>
        <item x="209"/>
        <item x="715"/>
        <item x="544"/>
        <item x="467"/>
        <item x="224"/>
        <item x="869"/>
        <item x="895"/>
        <item x="65"/>
        <item x="107"/>
        <item x="745"/>
        <item x="157"/>
        <item x="787"/>
        <item x="969"/>
        <item x="173"/>
        <item x="916"/>
        <item x="362"/>
        <item x="919"/>
        <item x="39"/>
        <item x="290"/>
        <item x="433"/>
        <item x="882"/>
        <item x="795"/>
        <item x="657"/>
        <item x="905"/>
        <item x="950"/>
        <item x="516"/>
        <item x="901"/>
        <item x="4"/>
        <item x="773"/>
        <item x="22"/>
        <item x="81"/>
        <item x="128"/>
        <item x="66"/>
        <item x="164"/>
        <item x="853"/>
        <item x="466"/>
        <item x="485"/>
        <item x="17"/>
        <item x="20"/>
        <item x="579"/>
        <item x="793"/>
        <item x="703"/>
        <item x="408"/>
        <item x="669"/>
        <item x="114"/>
        <item x="810"/>
        <item x="934"/>
        <item x="752"/>
        <item x="247"/>
        <item x="902"/>
        <item x="805"/>
        <item x="594"/>
        <item x="532"/>
        <item x="638"/>
        <item x="239"/>
        <item x="781"/>
        <item x="104"/>
        <item x="520"/>
        <item x="908"/>
        <item x="650"/>
        <item x="176"/>
        <item x="499"/>
        <item x="548"/>
        <item x="892"/>
        <item x="784"/>
        <item x="822"/>
        <item x="679"/>
        <item x="642"/>
        <item x="495"/>
        <item x="85"/>
        <item x="651"/>
        <item x="941"/>
        <item x="971"/>
        <item x="782"/>
        <item x="700"/>
        <item x="600"/>
        <item x="470"/>
        <item x="46"/>
        <item x="896"/>
        <item x="990"/>
        <item x="108"/>
        <item x="830"/>
        <item x="732"/>
        <item x="389"/>
        <item x="809"/>
        <item x="110"/>
        <item x="212"/>
        <item x="768"/>
        <item x="53"/>
        <item x="241"/>
        <item x="909"/>
        <item x="575"/>
        <item x="347"/>
        <item x="959"/>
        <item x="559"/>
        <item x="709"/>
        <item x="288"/>
        <item x="931"/>
        <item x="479"/>
        <item x="981"/>
        <item x="662"/>
        <item x="767"/>
        <item x="407"/>
        <item x="774"/>
        <item x="644"/>
        <item x="945"/>
        <item x="246"/>
        <item x="769"/>
        <item x="615"/>
        <item x="482"/>
        <item x="514"/>
        <item x="915"/>
        <item x="370"/>
        <item x="625"/>
        <item x="823"/>
        <item x="561"/>
        <item x="490"/>
        <item x="388"/>
        <item x="622"/>
        <item x="943"/>
        <item x="492"/>
        <item x="807"/>
        <item x="82"/>
        <item x="120"/>
        <item x="688"/>
        <item x="180"/>
        <item x="586"/>
        <item x="951"/>
        <item x="462"/>
        <item x="857"/>
        <item x="927"/>
        <item x="159"/>
        <item x="997"/>
        <item x="699"/>
        <item x="294"/>
        <item x="850"/>
        <item x="480"/>
        <item x="115"/>
        <item x="126"/>
        <item x="341"/>
        <item x="870"/>
        <item x="26"/>
        <item x="510"/>
        <item x="365"/>
        <item x="276"/>
        <item x="849"/>
        <item x="204"/>
        <item x="624"/>
        <item x="663"/>
        <item x="571"/>
        <item x="953"/>
        <item x="818"/>
        <item x="207"/>
        <item x="551"/>
        <item x="136"/>
        <item x="329"/>
        <item x="759"/>
        <item x="803"/>
        <item x="72"/>
        <item x="240"/>
        <item x="279"/>
        <item x="601"/>
        <item x="50"/>
        <item x="785"/>
        <item x="449"/>
        <item x="366"/>
        <item x="381"/>
        <item x="779"/>
        <item x="498"/>
        <item x="821"/>
        <item x="261"/>
        <item x="193"/>
        <item x="357"/>
        <item x="893"/>
        <item x="968"/>
        <item x="887"/>
        <item x="202"/>
        <item x="714"/>
        <item x="844"/>
        <item x="665"/>
        <item x="798"/>
        <item x="257"/>
        <item x="138"/>
        <item x="223"/>
        <item x="996"/>
        <item x="414"/>
        <item x="387"/>
        <item x="674"/>
        <item x="87"/>
        <item x="770"/>
        <item x="749"/>
        <item x="819"/>
        <item x="588"/>
        <item x="879"/>
        <item x="349"/>
        <item x="859"/>
        <item x="398"/>
        <item x="390"/>
        <item x="897"/>
        <item x="41"/>
        <item x="220"/>
        <item x="811"/>
        <item x="314"/>
        <item x="437"/>
        <item x="33"/>
        <item x="796"/>
        <item x="52"/>
        <item x="555"/>
        <item x="201"/>
        <item x="214"/>
        <item x="69"/>
        <item x="375"/>
        <item x="142"/>
        <item x="825"/>
        <item x="307"/>
        <item x="424"/>
        <item x="972"/>
        <item x="230"/>
        <item x="170"/>
        <item x="653"/>
        <item x="698"/>
        <item x="524"/>
        <item x="265"/>
        <item x="348"/>
        <item x="748"/>
        <item x="488"/>
        <item x="380"/>
        <item x="711"/>
        <item x="96"/>
        <item x="481"/>
        <item x="218"/>
        <item x="252"/>
        <item x="267"/>
        <item x="553"/>
        <item x="24"/>
        <item x="270"/>
        <item x="123"/>
        <item x="278"/>
        <item x="150"/>
        <item x="75"/>
        <item x="117"/>
        <item x="155"/>
        <item x="585"/>
        <item x="846"/>
        <item x="271"/>
        <item x="14"/>
        <item x="172"/>
        <item x="225"/>
        <item x="867"/>
        <item x="979"/>
        <item x="181"/>
        <item x="568"/>
        <item x="11"/>
        <item x="614"/>
        <item x="626"/>
        <item x="808"/>
        <item x="358"/>
        <item x="232"/>
        <item x="450"/>
        <item x="719"/>
        <item x="721"/>
        <item x="828"/>
        <item x="737"/>
        <item x="234"/>
        <item x="219"/>
        <item x="321"/>
        <item x="340"/>
        <item x="342"/>
        <item x="920"/>
        <item x="440"/>
        <item x="256"/>
        <item x="801"/>
        <item x="454"/>
        <item x="363"/>
        <item x="654"/>
        <item x="296"/>
        <item x="761"/>
        <item x="704"/>
        <item x="484"/>
        <item x="396"/>
        <item x="251"/>
        <item x="61"/>
        <item x="758"/>
        <item x="537"/>
        <item x="405"/>
        <item x="722"/>
        <item x="926"/>
        <item x="856"/>
        <item x="983"/>
        <item x="34"/>
        <item x="515"/>
        <item x="506"/>
        <item x="397"/>
        <item x="391"/>
        <item x="374"/>
        <item x="656"/>
        <item x="459"/>
        <item x="907"/>
        <item x="629"/>
        <item x="192"/>
        <item x="550"/>
        <item x="681"/>
        <item x="702"/>
        <item x="215"/>
        <item x="411"/>
        <item x="898"/>
        <item x="178"/>
        <item x="18"/>
        <item x="628"/>
        <item x="304"/>
        <item x="556"/>
        <item x="958"/>
        <item x="426"/>
        <item x="210"/>
        <item x="683"/>
        <item x="569"/>
        <item x="268"/>
        <item x="111"/>
        <item x="646"/>
        <item x="102"/>
        <item x="100"/>
        <item x="535"/>
        <item x="577"/>
        <item x="412"/>
        <item x="743"/>
        <item x="292"/>
        <item x="156"/>
        <item x="133"/>
        <item x="206"/>
        <item x="612"/>
        <item x="286"/>
        <item x="984"/>
        <item x="802"/>
        <item x="425"/>
        <item x="994"/>
        <item x="936"/>
        <item x="754"/>
        <item x="874"/>
        <item x="684"/>
        <item x="791"/>
        <item x="949"/>
        <item x="637"/>
        <item x="447"/>
        <item x="451"/>
        <item x="112"/>
        <item x="890"/>
        <item x="101"/>
        <item x="872"/>
        <item x="690"/>
        <item x="623"/>
        <item x="385"/>
        <item x="127"/>
        <item x="238"/>
        <item x="675"/>
        <item x="786"/>
        <item x="581"/>
        <item x="332"/>
        <item x="468"/>
        <item x="701"/>
        <item x="932"/>
        <item x="456"/>
        <item x="658"/>
        <item x="842"/>
        <item x="533"/>
        <item x="519"/>
        <item x="200"/>
        <item x="8"/>
        <item x="580"/>
        <item x="73"/>
        <item x="956"/>
        <item x="838"/>
        <item x="328"/>
        <item x="134"/>
        <item x="804"/>
        <item x="317"/>
        <item x="955"/>
        <item x="177"/>
        <item x="12"/>
        <item x="489"/>
        <item x="565"/>
        <item x="472"/>
        <item x="146"/>
        <item x="430"/>
        <item x="377"/>
        <item x="966"/>
        <item x="423"/>
        <item x="855"/>
        <item x="394"/>
        <item x="947"/>
        <item x="530"/>
        <item x="667"/>
        <item x="724"/>
        <item x="429"/>
        <item x="687"/>
        <item x="237"/>
        <item x="726"/>
        <item x="800"/>
        <item x="933"/>
        <item x="670"/>
        <item x="619"/>
        <item x="921"/>
        <item x="274"/>
        <item x="79"/>
        <item x="518"/>
        <item x="299"/>
        <item x="511"/>
        <item x="517"/>
        <item x="63"/>
        <item x="275"/>
        <item x="886"/>
        <item x="455"/>
        <item x="706"/>
        <item x="766"/>
        <item x="216"/>
        <item x="993"/>
        <item x="403"/>
        <item x="106"/>
        <item x="512"/>
        <item x="149"/>
        <item x="762"/>
        <item x="242"/>
        <item x="160"/>
        <item x="676"/>
        <item x="671"/>
        <item x="649"/>
        <item x="710"/>
        <item x="469"/>
        <item x="991"/>
        <item x="16"/>
        <item x="678"/>
        <item x="755"/>
        <item x="696"/>
        <item x="471"/>
        <item x="652"/>
        <item x="746"/>
        <item x="889"/>
        <item x="145"/>
        <item x="323"/>
        <item x="980"/>
        <item x="121"/>
        <item x="845"/>
        <item x="529"/>
        <item x="352"/>
        <item x="68"/>
        <item x="596"/>
        <item x="837"/>
        <item x="756"/>
        <item x="904"/>
        <item x="324"/>
        <item x="367"/>
        <item x="757"/>
        <item x="599"/>
        <item x="98"/>
        <item x="727"/>
        <item x="31"/>
        <item x="777"/>
        <item x="15"/>
        <item x="445"/>
        <item x="13"/>
        <item x="659"/>
        <item x="634"/>
        <item x="884"/>
        <item x="558"/>
        <item x="135"/>
        <item x="790"/>
        <item x="631"/>
        <item x="827"/>
        <item x="605"/>
        <item x="461"/>
        <item x="833"/>
        <item x="578"/>
        <item x="820"/>
        <item x="960"/>
        <item x="303"/>
        <item x="851"/>
        <item x="875"/>
        <item x="554"/>
        <item x="647"/>
        <item x="573"/>
        <item x="502"/>
        <item x="929"/>
        <item x="253"/>
        <item x="538"/>
        <item x="707"/>
        <item x="416"/>
        <item x="163"/>
        <item x="691"/>
        <item x="694"/>
        <item x="592"/>
        <item x="190"/>
        <item x="552"/>
        <item x="835"/>
        <item x="196"/>
        <item x="772"/>
        <item x="435"/>
        <item x="917"/>
        <item x="977"/>
        <item x="233"/>
        <item x="369"/>
        <item x="557"/>
        <item x="30"/>
        <item x="280"/>
        <item x="92"/>
        <item x="364"/>
        <item x="109"/>
        <item x="35"/>
        <item x="639"/>
        <item x="962"/>
        <item x="313"/>
        <item x="205"/>
        <item x="189"/>
        <item x="254"/>
        <item x="682"/>
        <item x="305"/>
        <item x="37"/>
        <item x="815"/>
        <item x="298"/>
        <item x="293"/>
        <item x="310"/>
        <item x="439"/>
        <item x="382"/>
        <item x="632"/>
        <item x="697"/>
        <item x="961"/>
        <item x="99"/>
        <item x="335"/>
        <item x="747"/>
        <item x="778"/>
        <item x="534"/>
        <item x="295"/>
        <item x="486"/>
        <item x="228"/>
        <item x="780"/>
        <item x="54"/>
        <item x="174"/>
        <item x="350"/>
        <item x="311"/>
        <item x="167"/>
        <item x="300"/>
        <item x="413"/>
        <item x="617"/>
        <item x="422"/>
        <item x="166"/>
        <item x="740"/>
        <item x="497"/>
        <item x="284"/>
        <item x="88"/>
        <item x="621"/>
        <item x="720"/>
        <item x="427"/>
        <item x="282"/>
        <item x="476"/>
        <item x="861"/>
        <item x="243"/>
        <item x="567"/>
        <item x="967"/>
        <item x="67"/>
        <item x="606"/>
        <item x="227"/>
        <item x="871"/>
        <item x="402"/>
        <item x="974"/>
        <item x="198"/>
        <item x="789"/>
        <item x="263"/>
        <item x="401"/>
        <item x="94"/>
        <item x="940"/>
        <item x="521"/>
        <item x="197"/>
        <item x="648"/>
        <item x="302"/>
        <item x="509"/>
        <item x="384"/>
        <item x="259"/>
        <item x="273"/>
        <item x="826"/>
        <item x="783"/>
        <item x="952"/>
        <item x="880"/>
        <item x="339"/>
        <item x="379"/>
        <item x="330"/>
        <item x="814"/>
        <item x="924"/>
        <item x="595"/>
        <item x="373"/>
        <item x="29"/>
        <item x="297"/>
        <item x="326"/>
        <item x="62"/>
        <item x="322"/>
        <item x="531"/>
        <item x="862"/>
        <item x="372"/>
        <item x="78"/>
        <item x="563"/>
        <item x="473"/>
        <item x="566"/>
        <item x="40"/>
        <item x="507"/>
        <item x="483"/>
        <item x="603"/>
        <item x="816"/>
        <item x="51"/>
        <item x="852"/>
        <item x="562"/>
        <item x="717"/>
        <item x="982"/>
        <item x="635"/>
        <item x="987"/>
        <item x="95"/>
        <item x="91"/>
        <item x="409"/>
        <item x="59"/>
        <item x="655"/>
        <item x="131"/>
        <item x="118"/>
        <item x="171"/>
        <item x="301"/>
        <item x="248"/>
        <item x="356"/>
        <item x="325"/>
        <item x="736"/>
        <item x="831"/>
        <item x="792"/>
        <item x="281"/>
        <item x="9"/>
        <item x="57"/>
        <item x="179"/>
        <item x="353"/>
        <item x="56"/>
        <item x="505"/>
        <item x="319"/>
        <item x="881"/>
        <item x="203"/>
        <item x="598"/>
        <item x="222"/>
        <item x="441"/>
        <item x="185"/>
        <item x="848"/>
        <item x="541"/>
        <item x="986"/>
        <item x="609"/>
        <item x="27"/>
        <item x="593"/>
        <item x="442"/>
        <item x="839"/>
        <item x="318"/>
        <item x="834"/>
        <item x="415"/>
        <item x="668"/>
        <item x="315"/>
        <item x="560"/>
        <item x="584"/>
        <item x="158"/>
        <item x="725"/>
        <item x="540"/>
        <item x="400"/>
        <item x="618"/>
        <item x="576"/>
        <item x="903"/>
        <item x="93"/>
        <item x="911"/>
        <item x="542"/>
        <item x="673"/>
        <item x="589"/>
        <item x="878"/>
        <item x="491"/>
        <item x="686"/>
        <item x="406"/>
        <item x="260"/>
        <item x="221"/>
        <item x="478"/>
        <item x="935"/>
        <item x="7"/>
        <item x="739"/>
        <item x="976"/>
        <item x="546"/>
        <item x="992"/>
        <item x="383"/>
        <item x="731"/>
        <item x="125"/>
        <item x="431"/>
        <item x="287"/>
        <item x="64"/>
        <item x="139"/>
        <item x="547"/>
        <item x="597"/>
        <item x="306"/>
        <item x="331"/>
        <item x="607"/>
        <item x="888"/>
        <item x="843"/>
        <item x="487"/>
        <item x="527"/>
        <item x="464"/>
        <item x="154"/>
        <item x="144"/>
        <item x="343"/>
        <item x="496"/>
        <item x="750"/>
        <item x="877"/>
        <item x="410"/>
        <item x="883"/>
        <item x="753"/>
        <item x="395"/>
        <item x="312"/>
        <item x="48"/>
        <item x="776"/>
        <item x="891"/>
        <item x="460"/>
        <item x="508"/>
        <item x="80"/>
        <item x="970"/>
        <item x="419"/>
        <item x="89"/>
        <item x="161"/>
        <item x="742"/>
        <item x="695"/>
        <item x="526"/>
        <item x="602"/>
        <item x="616"/>
        <item x="47"/>
        <item x="420"/>
        <item x="217"/>
        <item x="868"/>
        <item x="641"/>
        <item x="199"/>
        <item x="86"/>
        <item x="545"/>
        <item x="633"/>
        <item x="226"/>
        <item x="283"/>
        <item t="default"/>
      </items>
    </pivotField>
    <pivotField showAll="0">
      <items count="32">
        <item x="8"/>
        <item x="2"/>
        <item x="18"/>
        <item x="12"/>
        <item x="29"/>
        <item x="4"/>
        <item x="11"/>
        <item x="13"/>
        <item x="14"/>
        <item x="25"/>
        <item x="20"/>
        <item x="1"/>
        <item x="22"/>
        <item x="6"/>
        <item x="3"/>
        <item x="27"/>
        <item x="16"/>
        <item x="7"/>
        <item x="23"/>
        <item x="19"/>
        <item x="21"/>
        <item x="24"/>
        <item x="28"/>
        <item x="0"/>
        <item x="9"/>
        <item x="15"/>
        <item x="10"/>
        <item x="17"/>
        <item x="5"/>
        <item x="26"/>
        <item x="30"/>
        <item t="default"/>
      </items>
    </pivotField>
    <pivotField dataField="1" showAll="0">
      <items count="991">
        <item x="198"/>
        <item x="870"/>
        <item x="836"/>
        <item x="749"/>
        <item x="729"/>
        <item x="408"/>
        <item x="221"/>
        <item x="671"/>
        <item x="545"/>
        <item x="178"/>
        <item x="407"/>
        <item x="808"/>
        <item x="337"/>
        <item x="439"/>
        <item x="139"/>
        <item x="543"/>
        <item x="525"/>
        <item x="666"/>
        <item x="418"/>
        <item x="538"/>
        <item x="163"/>
        <item x="125"/>
        <item x="955"/>
        <item x="979"/>
        <item x="574"/>
        <item x="131"/>
        <item x="420"/>
        <item x="317"/>
        <item x="723"/>
        <item x="323"/>
        <item x="202"/>
        <item x="877"/>
        <item x="767"/>
        <item x="933"/>
        <item x="380"/>
        <item x="216"/>
        <item x="56"/>
        <item x="657"/>
        <item x="154"/>
        <item x="882"/>
        <item x="467"/>
        <item x="970"/>
        <item x="903"/>
        <item x="695"/>
        <item x="984"/>
        <item x="773"/>
        <item x="252"/>
        <item x="556"/>
        <item x="591"/>
        <item x="215"/>
        <item x="693"/>
        <item x="414"/>
        <item x="786"/>
        <item x="393"/>
        <item x="274"/>
        <item x="149"/>
        <item x="942"/>
        <item x="809"/>
        <item x="94"/>
        <item x="399"/>
        <item x="539"/>
        <item x="57"/>
        <item x="226"/>
        <item x="519"/>
        <item x="682"/>
        <item x="868"/>
        <item x="297"/>
        <item x="204"/>
        <item x="232"/>
        <item x="37"/>
        <item x="40"/>
        <item x="329"/>
        <item x="189"/>
        <item x="845"/>
        <item x="820"/>
        <item x="184"/>
        <item x="79"/>
        <item x="160"/>
        <item x="673"/>
        <item x="605"/>
        <item x="536"/>
        <item x="607"/>
        <item x="561"/>
        <item x="309"/>
        <item x="813"/>
        <item x="176"/>
        <item x="62"/>
        <item x="653"/>
        <item x="704"/>
        <item x="64"/>
        <item x="951"/>
        <item x="197"/>
        <item x="883"/>
        <item x="619"/>
        <item x="700"/>
        <item x="145"/>
        <item x="743"/>
        <item x="551"/>
        <item x="48"/>
        <item x="827"/>
        <item x="13"/>
        <item x="509"/>
        <item x="922"/>
        <item x="960"/>
        <item x="864"/>
        <item x="445"/>
        <item x="195"/>
        <item x="68"/>
        <item x="469"/>
        <item x="886"/>
        <item x="854"/>
        <item x="479"/>
        <item x="9"/>
        <item x="133"/>
        <item x="466"/>
        <item x="872"/>
        <item x="504"/>
        <item x="555"/>
        <item x="680"/>
        <item x="510"/>
        <item x="627"/>
        <item x="489"/>
        <item x="645"/>
        <item x="895"/>
        <item x="508"/>
        <item x="126"/>
        <item x="579"/>
        <item x="326"/>
        <item x="651"/>
        <item x="356"/>
        <item x="975"/>
        <item x="734"/>
        <item x="69"/>
        <item x="896"/>
        <item x="255"/>
        <item x="315"/>
        <item x="566"/>
        <item x="159"/>
        <item x="106"/>
        <item x="818"/>
        <item x="795"/>
        <item x="474"/>
        <item x="860"/>
        <item x="270"/>
        <item x="705"/>
        <item x="438"/>
        <item x="595"/>
        <item x="963"/>
        <item x="676"/>
        <item x="646"/>
        <item x="985"/>
        <item x="462"/>
        <item x="688"/>
        <item x="928"/>
        <item x="819"/>
        <item x="218"/>
        <item x="615"/>
        <item x="849"/>
        <item x="269"/>
        <item x="793"/>
        <item x="533"/>
        <item x="601"/>
        <item x="371"/>
        <item x="550"/>
        <item x="674"/>
        <item x="945"/>
        <item x="150"/>
        <item x="798"/>
        <item x="272"/>
        <item x="603"/>
        <item x="403"/>
        <item x="612"/>
        <item x="464"/>
        <item x="27"/>
        <item x="322"/>
        <item x="34"/>
        <item x="559"/>
        <item x="110"/>
        <item x="192"/>
        <item x="278"/>
        <item x="661"/>
        <item x="75"/>
        <item x="312"/>
        <item x="203"/>
        <item x="421"/>
        <item x="598"/>
        <item x="396"/>
        <item x="231"/>
        <item x="880"/>
        <item x="454"/>
        <item x="294"/>
        <item x="483"/>
        <item x="41"/>
        <item x="440"/>
        <item x="11"/>
        <item x="677"/>
        <item x="339"/>
        <item x="167"/>
        <item x="718"/>
        <item x="863"/>
        <item x="351"/>
        <item x="750"/>
        <item x="724"/>
        <item x="101"/>
        <item x="969"/>
        <item x="143"/>
        <item x="346"/>
        <item x="814"/>
        <item x="697"/>
        <item x="730"/>
        <item x="696"/>
        <item x="67"/>
        <item x="348"/>
        <item x="838"/>
        <item x="382"/>
        <item x="755"/>
        <item x="39"/>
        <item x="641"/>
        <item x="740"/>
        <item x="283"/>
        <item x="972"/>
        <item x="781"/>
        <item x="564"/>
        <item x="260"/>
        <item x="460"/>
        <item x="974"/>
        <item x="810"/>
        <item x="310"/>
        <item x="179"/>
        <item x="964"/>
        <item x="520"/>
        <item x="379"/>
        <item x="118"/>
        <item x="978"/>
        <item x="893"/>
        <item x="497"/>
        <item x="74"/>
        <item x="962"/>
        <item x="649"/>
        <item x="201"/>
        <item x="594"/>
        <item x="388"/>
        <item x="0"/>
        <item x="899"/>
        <item x="782"/>
        <item x="548"/>
        <item x="917"/>
        <item x="5"/>
        <item x="823"/>
        <item x="51"/>
        <item x="433"/>
        <item x="331"/>
        <item x="123"/>
        <item x="727"/>
        <item x="535"/>
        <item x="8"/>
        <item x="247"/>
        <item x="576"/>
        <item x="973"/>
        <item x="222"/>
        <item x="629"/>
        <item x="289"/>
        <item x="816"/>
        <item x="46"/>
        <item x="530"/>
        <item x="848"/>
        <item x="471"/>
        <item x="24"/>
        <item x="908"/>
        <item x="506"/>
        <item x="72"/>
        <item x="832"/>
        <item x="709"/>
        <item x="196"/>
        <item x="711"/>
        <item x="298"/>
        <item x="428"/>
        <item x="259"/>
        <item x="624"/>
        <item x="387"/>
        <item x="801"/>
        <item x="140"/>
        <item x="354"/>
        <item x="780"/>
        <item x="116"/>
        <item x="451"/>
        <item x="568"/>
        <item x="401"/>
        <item x="694"/>
        <item x="84"/>
        <item x="237"/>
        <item x="208"/>
        <item x="514"/>
        <item x="534"/>
        <item x="897"/>
        <item x="136"/>
        <item x="785"/>
        <item x="245"/>
        <item x="986"/>
        <item x="562"/>
        <item x="839"/>
        <item x="791"/>
        <item x="249"/>
        <item x="967"/>
        <item x="707"/>
        <item x="638"/>
        <item x="662"/>
        <item x="21"/>
        <item x="395"/>
        <item x="60"/>
        <item x="156"/>
        <item x="120"/>
        <item x="815"/>
        <item x="796"/>
        <item x="907"/>
        <item x="6"/>
        <item x="521"/>
        <item x="685"/>
        <item x="486"/>
        <item x="230"/>
        <item x="522"/>
        <item x="946"/>
        <item x="512"/>
        <item x="264"/>
        <item x="572"/>
        <item x="318"/>
        <item x="842"/>
        <item x="470"/>
        <item x="901"/>
        <item x="288"/>
        <item x="104"/>
        <item x="948"/>
        <item x="650"/>
        <item x="921"/>
        <item x="385"/>
        <item x="492"/>
        <item x="410"/>
        <item x="345"/>
        <item x="981"/>
        <item x="499"/>
        <item x="914"/>
        <item x="748"/>
        <item x="915"/>
        <item x="180"/>
        <item x="713"/>
        <item x="577"/>
        <item x="171"/>
        <item x="879"/>
        <item x="822"/>
        <item x="639"/>
        <item x="463"/>
        <item x="957"/>
        <item x="732"/>
        <item x="787"/>
        <item x="875"/>
        <item x="623"/>
        <item x="223"/>
        <item x="498"/>
        <item x="597"/>
        <item x="441"/>
        <item x="622"/>
        <item x="701"/>
        <item x="910"/>
        <item x="98"/>
        <item x="741"/>
        <item x="271"/>
        <item x="115"/>
        <item x="96"/>
        <item x="754"/>
        <item x="455"/>
        <item x="50"/>
        <item x="779"/>
        <item x="802"/>
        <item x="683"/>
        <item x="83"/>
        <item x="717"/>
        <item x="588"/>
        <item x="721"/>
        <item x="432"/>
        <item x="456"/>
        <item x="76"/>
        <item x="157"/>
        <item x="384"/>
        <item x="888"/>
        <item x="977"/>
        <item x="502"/>
        <item x="920"/>
        <item x="756"/>
        <item x="276"/>
        <item x="32"/>
        <item x="669"/>
        <item x="193"/>
        <item x="424"/>
        <item x="792"/>
        <item x="181"/>
        <item x="902"/>
        <item x="958"/>
        <item x="344"/>
        <item x="174"/>
        <item x="625"/>
        <item x="799"/>
        <item x="911"/>
        <item x="800"/>
        <item x="655"/>
        <item x="664"/>
        <item x="238"/>
        <item x="442"/>
        <item x="65"/>
        <item x="342"/>
        <item x="592"/>
        <item x="874"/>
        <item x="746"/>
        <item x="358"/>
        <item x="687"/>
        <item x="788"/>
        <item x="254"/>
        <item x="857"/>
        <item x="25"/>
        <item x="85"/>
        <item x="840"/>
        <item x="374"/>
        <item x="18"/>
        <item x="431"/>
        <item x="935"/>
        <item x="929"/>
        <item x="708"/>
        <item x="606"/>
        <item x="488"/>
        <item x="850"/>
        <item x="305"/>
        <item x="580"/>
        <item x="172"/>
        <item x="821"/>
        <item x="416"/>
        <item x="265"/>
        <item x="496"/>
        <item x="692"/>
        <item x="426"/>
        <item x="851"/>
        <item x="847"/>
        <item x="570"/>
        <item x="308"/>
        <item x="881"/>
        <item x="465"/>
        <item x="518"/>
        <item x="906"/>
        <item x="49"/>
        <item x="777"/>
        <item x="475"/>
        <item x="366"/>
        <item x="369"/>
        <item x="934"/>
        <item x="44"/>
        <item x="190"/>
        <item x="90"/>
        <item x="797"/>
        <item x="119"/>
        <item x="19"/>
        <item x="402"/>
        <item x="547"/>
        <item x="526"/>
        <item x="349"/>
        <item x="759"/>
        <item x="640"/>
        <item x="461"/>
        <item x="253"/>
        <item x="42"/>
        <item x="937"/>
        <item x="415"/>
        <item x="480"/>
        <item x="762"/>
        <item x="828"/>
        <item x="36"/>
        <item x="656"/>
        <item x="670"/>
        <item x="618"/>
        <item x="943"/>
        <item x="611"/>
        <item x="199"/>
        <item x="760"/>
        <item x="16"/>
        <item x="643"/>
        <item x="182"/>
        <item x="357"/>
        <item x="829"/>
        <item x="812"/>
        <item x="81"/>
        <item x="10"/>
        <item x="165"/>
        <item x="449"/>
        <item x="690"/>
        <item x="137"/>
        <item x="151"/>
        <item x="148"/>
        <item x="244"/>
        <item x="261"/>
        <item x="321"/>
        <item x="563"/>
        <item x="325"/>
        <item x="636"/>
        <item x="314"/>
        <item x="482"/>
        <item x="207"/>
        <item x="944"/>
        <item x="236"/>
        <item x="644"/>
        <item x="988"/>
        <item x="770"/>
        <item x="912"/>
        <item x="307"/>
        <item x="390"/>
        <item x="129"/>
        <item x="472"/>
        <item x="33"/>
        <item x="43"/>
        <item x="714"/>
        <item x="353"/>
        <item x="3"/>
        <item x="334"/>
        <item x="332"/>
        <item x="586"/>
        <item x="444"/>
        <item x="789"/>
        <item x="846"/>
        <item x="585"/>
        <item x="931"/>
        <item x="134"/>
        <item x="672"/>
        <item x="620"/>
        <item x="186"/>
        <item x="904"/>
        <item x="678"/>
        <item x="878"/>
        <item x="541"/>
        <item x="194"/>
        <item x="589"/>
        <item x="936"/>
        <item x="890"/>
        <item x="378"/>
        <item x="738"/>
        <item x="343"/>
        <item x="263"/>
        <item x="477"/>
        <item x="468"/>
        <item x="648"/>
        <item x="490"/>
        <item x="961"/>
        <item x="609"/>
        <item x="783"/>
        <item x="766"/>
        <item x="114"/>
        <item x="859"/>
        <item x="234"/>
        <item x="956"/>
        <item x="436"/>
        <item x="147"/>
        <item x="97"/>
        <item x="45"/>
        <item x="70"/>
        <item x="898"/>
        <item x="675"/>
        <item x="930"/>
        <item x="183"/>
        <item x="918"/>
        <item x="658"/>
        <item x="376"/>
        <item x="869"/>
        <item x="501"/>
        <item x="386"/>
        <item x="905"/>
        <item x="834"/>
        <item x="523"/>
        <item x="537"/>
        <item x="941"/>
        <item x="162"/>
        <item x="102"/>
        <item x="728"/>
        <item x="804"/>
        <item x="187"/>
        <item x="185"/>
        <item x="794"/>
        <item x="228"/>
        <item x="152"/>
        <item x="117"/>
        <item x="866"/>
        <item x="950"/>
        <item x="966"/>
        <item x="100"/>
        <item x="491"/>
        <item x="273"/>
        <item x="938"/>
        <item x="38"/>
        <item x="141"/>
        <item x="391"/>
        <item x="634"/>
        <item x="124"/>
        <item x="817"/>
        <item x="23"/>
        <item x="58"/>
        <item x="726"/>
        <item x="161"/>
        <item x="833"/>
        <item x="248"/>
        <item x="103"/>
        <item x="277"/>
        <item x="233"/>
        <item x="965"/>
        <item x="360"/>
        <item x="406"/>
        <item x="55"/>
        <item x="635"/>
        <item x="397"/>
        <item x="336"/>
        <item x="939"/>
        <item x="128"/>
        <item x="446"/>
        <item x="691"/>
        <item x="71"/>
        <item x="168"/>
        <item x="891"/>
        <item x="952"/>
        <item x="947"/>
        <item x="257"/>
        <item x="122"/>
        <item x="365"/>
        <item x="235"/>
        <item x="153"/>
        <item x="659"/>
        <item x="980"/>
        <item x="758"/>
        <item x="983"/>
        <item x="447"/>
        <item x="87"/>
        <item x="546"/>
        <item x="430"/>
        <item x="169"/>
        <item x="132"/>
        <item x="843"/>
        <item x="511"/>
        <item x="987"/>
        <item x="865"/>
        <item x="306"/>
        <item x="434"/>
        <item x="359"/>
        <item x="112"/>
        <item x="628"/>
        <item x="867"/>
        <item x="130"/>
        <item x="923"/>
        <item x="916"/>
        <item x="971"/>
        <item x="335"/>
        <item x="459"/>
        <item x="858"/>
        <item x="806"/>
        <item x="581"/>
        <item x="853"/>
        <item x="913"/>
        <item x="355"/>
        <item x="784"/>
        <item x="427"/>
        <item x="425"/>
        <item x="571"/>
        <item x="887"/>
        <item x="377"/>
        <item x="493"/>
        <item x="553"/>
        <item x="367"/>
        <item x="642"/>
        <item x="105"/>
        <item x="108"/>
        <item x="735"/>
        <item x="602"/>
        <item x="240"/>
        <item x="268"/>
        <item x="220"/>
        <item x="213"/>
        <item x="744"/>
        <item x="188"/>
        <item x="731"/>
        <item x="242"/>
        <item x="287"/>
        <item x="703"/>
        <item x="982"/>
        <item x="764"/>
        <item x="584"/>
        <item x="856"/>
        <item x="111"/>
        <item x="667"/>
        <item x="831"/>
        <item x="243"/>
        <item x="266"/>
        <item x="158"/>
        <item x="892"/>
        <item x="212"/>
        <item x="925"/>
        <item x="1"/>
        <item x="435"/>
        <item x="347"/>
        <item x="324"/>
        <item x="742"/>
        <item x="593"/>
        <item x="932"/>
        <item x="28"/>
        <item x="774"/>
        <item x="2"/>
        <item x="82"/>
        <item x="805"/>
        <item x="654"/>
        <item x="170"/>
        <item x="894"/>
        <item x="368"/>
        <item x="776"/>
        <item x="30"/>
        <item x="473"/>
        <item x="803"/>
        <item x="716"/>
        <item x="702"/>
        <item x="352"/>
        <item x="77"/>
        <item x="660"/>
        <item x="398"/>
        <item x="361"/>
        <item x="246"/>
        <item x="448"/>
        <item x="256"/>
        <item x="807"/>
        <item x="924"/>
        <item x="765"/>
        <item x="710"/>
        <item x="200"/>
        <item x="686"/>
        <item x="531"/>
        <item x="567"/>
        <item x="301"/>
        <item x="757"/>
        <item x="927"/>
        <item x="889"/>
        <item x="712"/>
        <item x="768"/>
        <item x="155"/>
        <item x="26"/>
        <item x="412"/>
        <item x="12"/>
        <item x="175"/>
        <item x="107"/>
        <item x="217"/>
        <item x="769"/>
        <item x="565"/>
        <item x="706"/>
        <item x="560"/>
        <item x="340"/>
        <item x="73"/>
        <item x="811"/>
        <item x="862"/>
        <item x="745"/>
        <item x="608"/>
        <item x="373"/>
        <item x="569"/>
        <item x="394"/>
        <item x="419"/>
        <item x="826"/>
        <item x="422"/>
        <item x="258"/>
        <item x="825"/>
        <item x="968"/>
        <item x="138"/>
        <item x="267"/>
        <item x="17"/>
        <item x="241"/>
        <item x="763"/>
        <item x="327"/>
        <item x="275"/>
        <item x="549"/>
        <item x="22"/>
        <item x="626"/>
        <item x="542"/>
        <item x="284"/>
        <item x="210"/>
        <item x="752"/>
        <item x="478"/>
        <item x="450"/>
        <item x="720"/>
        <item x="753"/>
        <item x="698"/>
        <item x="554"/>
        <item x="31"/>
        <item x="364"/>
        <item x="652"/>
        <item x="113"/>
        <item x="900"/>
        <item x="4"/>
        <item x="885"/>
        <item x="292"/>
        <item x="599"/>
        <item x="771"/>
        <item x="363"/>
        <item x="719"/>
        <item x="109"/>
        <item x="279"/>
        <item x="632"/>
        <item x="127"/>
        <item x="668"/>
        <item x="20"/>
        <item x="66"/>
        <item x="876"/>
        <item x="505"/>
        <item x="53"/>
        <item x="211"/>
        <item x="291"/>
        <item x="573"/>
        <item x="164"/>
        <item x="790"/>
        <item x="613"/>
        <item x="989"/>
        <item x="575"/>
        <item x="517"/>
        <item x="177"/>
        <item x="663"/>
        <item x="219"/>
        <item x="142"/>
        <item x="578"/>
        <item x="457"/>
        <item x="214"/>
        <item x="405"/>
        <item x="557"/>
        <item x="959"/>
        <item x="630"/>
        <item x="429"/>
        <item x="583"/>
        <item x="88"/>
        <item x="830"/>
        <item x="527"/>
        <item x="302"/>
        <item x="251"/>
        <item x="166"/>
        <item x="239"/>
        <item x="837"/>
        <item x="52"/>
        <item x="338"/>
        <item x="443"/>
        <item x="206"/>
        <item x="144"/>
        <item x="95"/>
        <item x="409"/>
        <item x="80"/>
        <item x="293"/>
        <item x="940"/>
        <item x="121"/>
        <item x="224"/>
        <item x="383"/>
        <item x="949"/>
        <item x="250"/>
        <item x="135"/>
        <item x="590"/>
        <item x="884"/>
        <item x="733"/>
        <item x="229"/>
        <item x="191"/>
        <item x="89"/>
        <item x="852"/>
        <item x="647"/>
        <item x="953"/>
        <item x="452"/>
        <item x="91"/>
        <item x="689"/>
        <item x="722"/>
        <item x="919"/>
        <item x="778"/>
        <item x="285"/>
        <item x="487"/>
        <item x="99"/>
        <item x="617"/>
        <item x="423"/>
        <item x="976"/>
        <item x="372"/>
        <item x="14"/>
        <item x="679"/>
        <item x="736"/>
        <item x="411"/>
        <item x="290"/>
        <item x="604"/>
        <item x="610"/>
        <item x="63"/>
        <item x="35"/>
        <item x="320"/>
        <item x="173"/>
        <item x="225"/>
        <item x="621"/>
        <item x="350"/>
        <item x="319"/>
        <item x="375"/>
        <item x="15"/>
        <item x="330"/>
        <item x="92"/>
        <item x="296"/>
        <item x="844"/>
        <item x="47"/>
        <item x="725"/>
        <item x="503"/>
        <item x="205"/>
        <item x="400"/>
        <item x="61"/>
        <item x="299"/>
        <item x="515"/>
        <item x="835"/>
        <item x="681"/>
        <item x="582"/>
        <item x="389"/>
        <item x="227"/>
        <item x="631"/>
        <item x="392"/>
        <item x="739"/>
        <item x="528"/>
        <item x="873"/>
        <item x="303"/>
        <item x="926"/>
        <item x="93"/>
        <item x="495"/>
        <item x="841"/>
        <item x="516"/>
        <item x="209"/>
        <item x="513"/>
        <item x="494"/>
        <item x="699"/>
        <item x="775"/>
        <item x="328"/>
        <item x="280"/>
        <item x="7"/>
        <item x="300"/>
        <item x="751"/>
        <item x="295"/>
        <item x="453"/>
        <item x="316"/>
        <item x="485"/>
        <item x="146"/>
        <item x="262"/>
        <item x="761"/>
        <item x="484"/>
        <item x="637"/>
        <item x="532"/>
        <item x="458"/>
        <item x="437"/>
        <item x="587"/>
        <item x="333"/>
        <item x="715"/>
        <item x="665"/>
        <item x="772"/>
        <item x="404"/>
        <item x="362"/>
        <item x="313"/>
        <item x="417"/>
        <item x="737"/>
        <item x="596"/>
        <item x="507"/>
        <item x="500"/>
        <item x="481"/>
        <item x="529"/>
        <item x="747"/>
        <item x="540"/>
        <item x="413"/>
        <item x="633"/>
        <item x="600"/>
        <item x="871"/>
        <item x="954"/>
        <item x="86"/>
        <item x="311"/>
        <item x="552"/>
        <item x="909"/>
        <item x="370"/>
        <item x="281"/>
        <item x="29"/>
        <item x="286"/>
        <item x="341"/>
        <item x="54"/>
        <item x="855"/>
        <item x="304"/>
        <item x="684"/>
        <item x="282"/>
        <item x="544"/>
        <item x="558"/>
        <item x="59"/>
        <item x="824"/>
        <item x="78"/>
        <item x="616"/>
        <item x="381"/>
        <item x="476"/>
        <item x="524"/>
        <item x="614"/>
        <item x="86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dataField="1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Sales" fld="8" baseField="0" baseItem="0"/>
    <dataField name="Sum of Profit" fld="10" baseField="0" baseItem="0"/>
    <dataField name="Count of Order ID" fld="1" subtotal="count" baseField="0" baseItem="0"/>
    <dataField name="Sum of Profit Margin" fld="12" baseField="0" baseItem="0" numFmtId="1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useAutoFormatting="1" createdVersion="5" indent="0" outline="1" outlineData="1" multipleFieldFilters="0">
  <location ref="A3:E10" firstHeaderRow="1" firstDataRow="2" firstDataCol="1"/>
  <pivotFields count="13">
    <pivotField showAll="0">
      <items count="346">
        <item x="105"/>
        <item x="338"/>
        <item x="18"/>
        <item x="76"/>
        <item x="330"/>
        <item x="74"/>
        <item x="178"/>
        <item x="126"/>
        <item x="58"/>
        <item x="4"/>
        <item x="65"/>
        <item x="341"/>
        <item x="302"/>
        <item x="34"/>
        <item x="343"/>
        <item x="185"/>
        <item x="223"/>
        <item x="193"/>
        <item x="204"/>
        <item x="257"/>
        <item x="219"/>
        <item x="3"/>
        <item x="148"/>
        <item x="87"/>
        <item x="320"/>
        <item x="268"/>
        <item x="234"/>
        <item x="269"/>
        <item x="129"/>
        <item x="82"/>
        <item x="188"/>
        <item x="315"/>
        <item x="267"/>
        <item x="303"/>
        <item x="13"/>
        <item x="248"/>
        <item x="66"/>
        <item x="339"/>
        <item x="260"/>
        <item x="64"/>
        <item x="336"/>
        <item x="145"/>
        <item x="277"/>
        <item x="259"/>
        <item x="293"/>
        <item x="155"/>
        <item x="309"/>
        <item x="107"/>
        <item x="300"/>
        <item x="203"/>
        <item x="217"/>
        <item x="140"/>
        <item x="40"/>
        <item x="229"/>
        <item x="75"/>
        <item x="122"/>
        <item x="136"/>
        <item x="88"/>
        <item x="10"/>
        <item x="221"/>
        <item x="61"/>
        <item x="2"/>
        <item x="89"/>
        <item x="95"/>
        <item x="109"/>
        <item x="276"/>
        <item x="270"/>
        <item x="295"/>
        <item x="25"/>
        <item x="243"/>
        <item x="85"/>
        <item x="319"/>
        <item x="340"/>
        <item x="104"/>
        <item x="247"/>
        <item x="106"/>
        <item x="79"/>
        <item x="205"/>
        <item x="44"/>
        <item x="131"/>
        <item x="67"/>
        <item x="141"/>
        <item x="90"/>
        <item x="152"/>
        <item x="179"/>
        <item x="266"/>
        <item x="180"/>
        <item x="146"/>
        <item x="218"/>
        <item x="227"/>
        <item x="177"/>
        <item x="1"/>
        <item x="118"/>
        <item x="160"/>
        <item x="133"/>
        <item x="47"/>
        <item x="69"/>
        <item x="35"/>
        <item x="162"/>
        <item x="53"/>
        <item x="144"/>
        <item x="195"/>
        <item x="115"/>
        <item x="235"/>
        <item x="190"/>
        <item x="189"/>
        <item x="121"/>
        <item x="5"/>
        <item x="289"/>
        <item x="167"/>
        <item x="28"/>
        <item x="209"/>
        <item x="181"/>
        <item x="124"/>
        <item x="329"/>
        <item x="249"/>
        <item x="17"/>
        <item x="83"/>
        <item x="15"/>
        <item x="286"/>
        <item x="186"/>
        <item x="246"/>
        <item x="200"/>
        <item x="24"/>
        <item x="326"/>
        <item x="253"/>
        <item x="93"/>
        <item x="55"/>
        <item x="114"/>
        <item x="112"/>
        <item x="280"/>
        <item x="241"/>
        <item x="308"/>
        <item x="134"/>
        <item x="108"/>
        <item x="211"/>
        <item x="135"/>
        <item x="333"/>
        <item x="175"/>
        <item x="331"/>
        <item x="168"/>
        <item x="37"/>
        <item x="201"/>
        <item x="127"/>
        <item x="29"/>
        <item x="291"/>
        <item x="33"/>
        <item x="27"/>
        <item x="94"/>
        <item x="60"/>
        <item x="306"/>
        <item x="30"/>
        <item x="287"/>
        <item x="213"/>
        <item x="103"/>
        <item x="198"/>
        <item x="153"/>
        <item x="322"/>
        <item x="196"/>
        <item x="210"/>
        <item x="342"/>
        <item x="239"/>
        <item x="137"/>
        <item x="59"/>
        <item x="176"/>
        <item x="54"/>
        <item x="194"/>
        <item x="9"/>
        <item x="251"/>
        <item x="143"/>
        <item x="128"/>
        <item x="318"/>
        <item x="22"/>
        <item x="68"/>
        <item x="78"/>
        <item x="150"/>
        <item x="301"/>
        <item x="130"/>
        <item x="307"/>
        <item x="207"/>
        <item x="165"/>
        <item x="335"/>
        <item x="20"/>
        <item x="147"/>
        <item x="123"/>
        <item x="278"/>
        <item x="172"/>
        <item x="310"/>
        <item x="323"/>
        <item x="245"/>
        <item x="283"/>
        <item x="298"/>
        <item x="237"/>
        <item x="57"/>
        <item x="202"/>
        <item x="312"/>
        <item x="261"/>
        <item x="183"/>
        <item x="274"/>
        <item x="174"/>
        <item x="14"/>
        <item x="233"/>
        <item x="254"/>
        <item x="199"/>
        <item x="224"/>
        <item x="139"/>
        <item x="72"/>
        <item x="232"/>
        <item x="252"/>
        <item x="282"/>
        <item x="6"/>
        <item x="244"/>
        <item x="258"/>
        <item x="314"/>
        <item x="31"/>
        <item x="187"/>
        <item x="272"/>
        <item x="111"/>
        <item x="220"/>
        <item x="225"/>
        <item x="16"/>
        <item x="265"/>
        <item x="48"/>
        <item x="216"/>
        <item x="305"/>
        <item x="42"/>
        <item x="197"/>
        <item x="344"/>
        <item x="275"/>
        <item x="288"/>
        <item x="285"/>
        <item x="324"/>
        <item x="191"/>
        <item x="26"/>
        <item x="119"/>
        <item x="290"/>
        <item x="62"/>
        <item x="98"/>
        <item x="101"/>
        <item x="81"/>
        <item x="19"/>
        <item x="71"/>
        <item x="256"/>
        <item x="215"/>
        <item x="231"/>
        <item x="161"/>
        <item x="120"/>
        <item x="296"/>
        <item x="97"/>
        <item x="46"/>
        <item x="23"/>
        <item x="41"/>
        <item x="264"/>
        <item x="157"/>
        <item x="159"/>
        <item x="102"/>
        <item x="96"/>
        <item x="294"/>
        <item x="325"/>
        <item x="86"/>
        <item x="151"/>
        <item x="110"/>
        <item x="154"/>
        <item x="52"/>
        <item x="38"/>
        <item x="56"/>
        <item x="91"/>
        <item x="337"/>
        <item x="208"/>
        <item x="77"/>
        <item x="39"/>
        <item x="158"/>
        <item x="45"/>
        <item x="240"/>
        <item x="142"/>
        <item x="0"/>
        <item x="49"/>
        <item x="304"/>
        <item x="279"/>
        <item x="43"/>
        <item x="50"/>
        <item x="299"/>
        <item x="36"/>
        <item x="184"/>
        <item x="182"/>
        <item x="230"/>
        <item x="332"/>
        <item x="226"/>
        <item x="214"/>
        <item x="116"/>
        <item x="138"/>
        <item x="117"/>
        <item x="262"/>
        <item x="273"/>
        <item x="292"/>
        <item x="192"/>
        <item x="164"/>
        <item x="321"/>
        <item x="334"/>
        <item x="236"/>
        <item x="113"/>
        <item x="132"/>
        <item x="317"/>
        <item x="311"/>
        <item x="263"/>
        <item x="70"/>
        <item x="242"/>
        <item x="100"/>
        <item x="32"/>
        <item x="173"/>
        <item x="297"/>
        <item x="281"/>
        <item x="206"/>
        <item x="149"/>
        <item x="284"/>
        <item x="51"/>
        <item x="84"/>
        <item x="171"/>
        <item x="125"/>
        <item x="99"/>
        <item x="92"/>
        <item x="170"/>
        <item x="7"/>
        <item x="169"/>
        <item x="250"/>
        <item x="80"/>
        <item x="8"/>
        <item x="327"/>
        <item x="238"/>
        <item x="313"/>
        <item x="228"/>
        <item x="163"/>
        <item x="316"/>
        <item x="212"/>
        <item x="156"/>
        <item x="11"/>
        <item x="271"/>
        <item x="63"/>
        <item x="328"/>
        <item x="21"/>
        <item x="73"/>
        <item x="222"/>
        <item x="166"/>
        <item x="255"/>
        <item x="12"/>
        <item t="default"/>
      </items>
    </pivotField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21">
        <item x="0"/>
        <item x="9"/>
        <item x="10"/>
        <item x="12"/>
        <item x="7"/>
        <item x="2"/>
        <item x="6"/>
        <item x="5"/>
        <item x="3"/>
        <item x="14"/>
        <item x="8"/>
        <item x="4"/>
        <item x="13"/>
        <item x="19"/>
        <item x="11"/>
        <item x="16"/>
        <item x="15"/>
        <item x="18"/>
        <item x="17"/>
        <item x="1"/>
        <item t="default"/>
      </items>
    </pivotField>
    <pivotField showAll="0">
      <items count="988">
        <item x="332"/>
        <item x="245"/>
        <item x="643"/>
        <item x="357"/>
        <item x="618"/>
        <item x="10"/>
        <item x="432"/>
        <item x="738"/>
        <item x="187"/>
        <item x="886"/>
        <item x="658"/>
        <item x="208"/>
        <item x="43"/>
        <item x="977"/>
        <item x="767"/>
        <item x="397"/>
        <item x="55"/>
        <item x="249"/>
        <item x="358"/>
        <item x="168"/>
        <item x="129"/>
        <item x="690"/>
        <item x="664"/>
        <item x="936"/>
        <item x="585"/>
        <item x="430"/>
        <item x="391"/>
        <item x="349"/>
        <item x="455"/>
        <item x="147"/>
        <item x="84"/>
        <item x="896"/>
        <item x="511"/>
        <item x="908"/>
        <item x="588"/>
        <item x="416"/>
        <item x="938"/>
        <item x="915"/>
        <item x="36"/>
        <item x="374"/>
        <item x="932"/>
        <item x="19"/>
        <item x="502"/>
        <item x="857"/>
        <item x="436"/>
        <item x="716"/>
        <item x="902"/>
        <item x="834"/>
        <item x="918"/>
        <item x="132"/>
        <item x="287"/>
        <item x="714"/>
        <item x="165"/>
        <item x="58"/>
        <item x="153"/>
        <item x="188"/>
        <item x="967"/>
        <item x="913"/>
        <item x="572"/>
        <item x="735"/>
        <item x="267"/>
        <item x="90"/>
        <item x="264"/>
        <item x="306"/>
        <item x="260"/>
        <item x="137"/>
        <item x="390"/>
        <item x="224"/>
        <item x="157"/>
        <item x="235"/>
        <item x="659"/>
        <item x="124"/>
        <item x="336"/>
        <item x="542"/>
        <item x="108"/>
        <item x="856"/>
        <item x="789"/>
        <item x="334"/>
        <item x="638"/>
        <item x="76"/>
        <item x="182"/>
        <item x="359"/>
        <item x="541"/>
        <item x="209"/>
        <item x="1"/>
        <item x="183"/>
        <item x="501"/>
        <item x="499"/>
        <item x="186"/>
        <item x="818"/>
        <item x="191"/>
        <item x="262"/>
        <item x="77"/>
        <item x="483"/>
        <item x="352"/>
        <item x="42"/>
        <item x="247"/>
        <item x="526"/>
        <item x="49"/>
        <item x="213"/>
        <item x="927"/>
        <item x="81"/>
        <item x="823"/>
        <item x="606"/>
        <item x="858"/>
        <item x="5"/>
        <item x="726"/>
        <item x="497"/>
        <item x="816"/>
        <item x="53"/>
        <item x="283"/>
        <item x="667"/>
        <item x="769"/>
        <item x="592"/>
        <item x="141"/>
        <item x="314"/>
        <item x="114"/>
        <item x="109"/>
        <item x="176"/>
        <item x="307"/>
        <item x="464"/>
        <item x="419"/>
        <item x="577"/>
        <item x="71"/>
        <item x="899"/>
        <item x="292"/>
        <item x="771"/>
        <item x="931"/>
        <item x="3"/>
        <item x="757"/>
        <item x="749"/>
        <item x="22"/>
        <item x="184"/>
        <item x="21"/>
        <item x="725"/>
        <item x="824"/>
        <item x="877"/>
        <item x="623"/>
        <item x="648"/>
        <item x="947"/>
        <item x="441"/>
        <item x="386"/>
        <item x="677"/>
        <item x="732"/>
        <item x="45"/>
        <item x="979"/>
        <item x="60"/>
        <item x="683"/>
        <item x="4"/>
        <item x="143"/>
        <item x="792"/>
        <item x="122"/>
        <item x="472"/>
        <item x="128"/>
        <item x="801"/>
        <item x="229"/>
        <item x="609"/>
        <item x="933"/>
        <item x="863"/>
        <item x="180"/>
        <item x="2"/>
        <item x="204"/>
        <item x="847"/>
        <item x="331"/>
        <item x="670"/>
        <item x="570"/>
        <item x="451"/>
        <item x="620"/>
        <item x="661"/>
        <item x="69"/>
        <item x="713"/>
        <item x="964"/>
        <item x="697"/>
        <item x="731"/>
        <item x="807"/>
        <item x="244"/>
        <item x="339"/>
        <item x="783"/>
        <item x="447"/>
        <item x="111"/>
        <item x="859"/>
        <item x="586"/>
        <item x="39"/>
        <item x="431"/>
        <item x="263"/>
        <item x="891"/>
        <item x="974"/>
        <item x="218"/>
        <item x="978"/>
        <item x="327"/>
        <item x="986"/>
        <item x="660"/>
        <item x="900"/>
        <item x="678"/>
        <item x="954"/>
        <item x="246"/>
        <item x="599"/>
        <item x="608"/>
        <item x="822"/>
        <item x="456"/>
        <item x="234"/>
        <item x="422"/>
        <item x="698"/>
        <item x="559"/>
        <item x="508"/>
        <item x="652"/>
        <item x="251"/>
        <item x="934"/>
        <item x="729"/>
        <item x="803"/>
        <item x="265"/>
        <item x="912"/>
        <item x="958"/>
        <item x="254"/>
        <item x="33"/>
        <item x="557"/>
        <item x="602"/>
        <item x="286"/>
        <item x="921"/>
        <item x="672"/>
        <item x="920"/>
        <item x="898"/>
        <item x="613"/>
        <item x="815"/>
        <item x="940"/>
        <item x="403"/>
        <item x="250"/>
        <item x="105"/>
        <item x="551"/>
        <item x="368"/>
        <item x="202"/>
        <item x="325"/>
        <item x="703"/>
        <item x="435"/>
        <item x="554"/>
        <item x="761"/>
        <item x="194"/>
        <item x="741"/>
        <item x="170"/>
        <item x="611"/>
        <item x="6"/>
        <item x="849"/>
        <item x="446"/>
        <item x="70"/>
        <item x="710"/>
        <item x="800"/>
        <item x="830"/>
        <item x="583"/>
        <item x="38"/>
        <item x="512"/>
        <item x="100"/>
        <item x="173"/>
        <item x="634"/>
        <item x="622"/>
        <item x="968"/>
        <item x="985"/>
        <item x="983"/>
        <item x="922"/>
        <item x="812"/>
        <item x="288"/>
        <item x="625"/>
        <item x="549"/>
        <item x="82"/>
        <item x="939"/>
        <item x="748"/>
        <item x="96"/>
        <item x="598"/>
        <item x="479"/>
        <item x="28"/>
        <item x="151"/>
        <item x="584"/>
        <item x="347"/>
        <item x="865"/>
        <item x="537"/>
        <item x="134"/>
        <item x="238"/>
        <item x="928"/>
        <item x="903"/>
        <item x="102"/>
        <item x="730"/>
        <item x="520"/>
        <item x="466"/>
        <item x="269"/>
        <item x="415"/>
        <item x="23"/>
        <item x="220"/>
        <item x="885"/>
        <item x="879"/>
        <item x="148"/>
        <item x="860"/>
        <item x="345"/>
        <item x="711"/>
        <item x="675"/>
        <item x="835"/>
        <item x="890"/>
        <item x="200"/>
        <item x="635"/>
        <item x="882"/>
        <item x="523"/>
        <item x="232"/>
        <item x="223"/>
        <item x="315"/>
        <item x="795"/>
        <item x="984"/>
        <item x="935"/>
        <item x="717"/>
        <item x="385"/>
        <item x="569"/>
        <item x="530"/>
        <item x="461"/>
        <item x="953"/>
        <item x="905"/>
        <item x="699"/>
        <item x="740"/>
        <item x="580"/>
        <item x="156"/>
        <item x="797"/>
        <item x="679"/>
        <item x="862"/>
        <item x="751"/>
        <item x="762"/>
        <item x="482"/>
        <item x="409"/>
        <item x="547"/>
        <item x="724"/>
        <item x="384"/>
        <item x="923"/>
        <item x="720"/>
        <item x="617"/>
        <item x="152"/>
        <item x="424"/>
        <item x="808"/>
        <item x="791"/>
        <item x="777"/>
        <item x="389"/>
        <item x="562"/>
        <item x="528"/>
        <item x="651"/>
        <item x="103"/>
        <item x="952"/>
        <item x="126"/>
        <item x="794"/>
        <item x="284"/>
        <item x="401"/>
        <item x="138"/>
        <item x="641"/>
        <item x="682"/>
        <item x="255"/>
        <item x="796"/>
        <item x="811"/>
        <item x="26"/>
        <item x="361"/>
        <item x="145"/>
        <item x="24"/>
        <item x="274"/>
        <item x="445"/>
        <item x="702"/>
        <item x="350"/>
        <item x="353"/>
        <item x="707"/>
        <item x="146"/>
        <item x="428"/>
        <item x="970"/>
        <item x="140"/>
        <item x="567"/>
        <item x="330"/>
        <item x="642"/>
        <item x="15"/>
        <item x="273"/>
        <item x="20"/>
        <item x="97"/>
        <item x="644"/>
        <item x="504"/>
        <item x="676"/>
        <item x="480"/>
        <item x="236"/>
        <item x="904"/>
        <item x="701"/>
        <item x="624"/>
        <item x="531"/>
        <item x="534"/>
        <item x="133"/>
        <item x="721"/>
        <item x="321"/>
        <item x="372"/>
        <item x="206"/>
        <item x="610"/>
        <item x="463"/>
        <item x="115"/>
        <item x="68"/>
        <item x="379"/>
        <item x="373"/>
        <item x="326"/>
        <item x="305"/>
        <item x="120"/>
        <item x="160"/>
        <item x="636"/>
        <item x="686"/>
        <item x="700"/>
        <item x="516"/>
        <item x="957"/>
        <item x="910"/>
        <item x="104"/>
        <item x="452"/>
        <item x="571"/>
        <item x="119"/>
        <item x="850"/>
        <item x="673"/>
        <item x="781"/>
        <item x="491"/>
        <item x="848"/>
        <item x="962"/>
        <item x="510"/>
        <item x="821"/>
        <item x="603"/>
        <item x="74"/>
        <item x="640"/>
        <item x="843"/>
        <item x="150"/>
        <item x="237"/>
        <item x="289"/>
        <item x="468"/>
        <item x="83"/>
        <item x="46"/>
        <item x="708"/>
        <item x="92"/>
        <item x="362"/>
        <item x="566"/>
        <item x="509"/>
        <item x="396"/>
        <item x="65"/>
        <item x="344"/>
        <item x="231"/>
        <item x="727"/>
        <item x="356"/>
        <item x="742"/>
        <item x="627"/>
        <item x="876"/>
        <item x="375"/>
        <item x="955"/>
        <item x="253"/>
        <item x="719"/>
        <item x="136"/>
        <item x="706"/>
        <item x="734"/>
        <item x="498"/>
        <item x="579"/>
        <item x="18"/>
        <item x="142"/>
        <item x="844"/>
        <item x="302"/>
        <item x="322"/>
        <item x="318"/>
        <item x="230"/>
        <item x="628"/>
        <item x="758"/>
        <item x="780"/>
        <item x="454"/>
        <item x="696"/>
        <item x="874"/>
        <item x="25"/>
        <item x="535"/>
        <item x="895"/>
        <item x="205"/>
        <item x="578"/>
        <item x="692"/>
        <item x="590"/>
        <item x="410"/>
        <item x="189"/>
        <item x="355"/>
        <item x="515"/>
        <item x="290"/>
        <item x="16"/>
        <item x="650"/>
        <item x="376"/>
        <item x="743"/>
        <item x="867"/>
        <item x="490"/>
        <item x="420"/>
        <item x="878"/>
        <item x="225"/>
        <item x="814"/>
        <item x="949"/>
        <item x="113"/>
        <item x="392"/>
        <item x="688"/>
        <item x="457"/>
        <item x="897"/>
        <item x="280"/>
        <item x="759"/>
        <item x="474"/>
        <item x="11"/>
        <item x="159"/>
        <item x="773"/>
        <item x="746"/>
        <item x="406"/>
        <item x="864"/>
        <item x="402"/>
        <item x="450"/>
        <item x="871"/>
        <item x="829"/>
        <item x="178"/>
        <item x="805"/>
        <item x="924"/>
        <item x="632"/>
        <item x="467"/>
        <item x="656"/>
        <item x="980"/>
        <item x="291"/>
        <item x="556"/>
        <item x="911"/>
        <item x="135"/>
        <item x="272"/>
        <item x="369"/>
        <item x="130"/>
        <item x="239"/>
        <item x="630"/>
        <item x="319"/>
        <item x="340"/>
        <item x="41"/>
        <item x="492"/>
        <item x="8"/>
        <item x="211"/>
        <item x="112"/>
        <item x="278"/>
        <item x="363"/>
        <item x="121"/>
        <item x="294"/>
        <item x="842"/>
        <item x="546"/>
        <item x="637"/>
        <item x="533"/>
        <item x="884"/>
        <item x="177"/>
        <item x="0"/>
        <item x="704"/>
        <item x="201"/>
        <item x="61"/>
        <item x="831"/>
        <item x="753"/>
        <item x="755"/>
        <item x="167"/>
        <item x="894"/>
        <item x="961"/>
        <item x="475"/>
        <item x="107"/>
        <item x="32"/>
        <item x="298"/>
        <item x="261"/>
        <item x="853"/>
        <item x="423"/>
        <item x="493"/>
        <item x="85"/>
        <item x="649"/>
        <item x="421"/>
        <item x="335"/>
        <item x="346"/>
        <item x="34"/>
        <item x="366"/>
        <item x="722"/>
        <item x="486"/>
        <item x="44"/>
        <item x="166"/>
        <item x="169"/>
        <item x="378"/>
        <item x="106"/>
        <item x="257"/>
        <item x="826"/>
        <item x="88"/>
        <item x="277"/>
        <item x="950"/>
        <item x="662"/>
        <item x="123"/>
        <item x="744"/>
        <item x="774"/>
        <item x="851"/>
        <item x="654"/>
        <item x="845"/>
        <item x="364"/>
        <item x="459"/>
        <item x="827"/>
        <item x="75"/>
        <item x="565"/>
        <item x="496"/>
        <item x="872"/>
        <item x="14"/>
        <item x="212"/>
        <item x="35"/>
        <item x="548"/>
        <item x="951"/>
        <item x="309"/>
        <item x="215"/>
        <item x="552"/>
        <item x="328"/>
        <item x="838"/>
        <item x="519"/>
        <item x="63"/>
        <item x="527"/>
        <item x="59"/>
        <item x="581"/>
        <item x="646"/>
        <item x="181"/>
        <item x="324"/>
        <item x="663"/>
        <item x="507"/>
        <item x="612"/>
        <item x="626"/>
        <item x="73"/>
        <item x="275"/>
        <item x="754"/>
        <item x="737"/>
        <item x="505"/>
        <item x="190"/>
        <item x="799"/>
        <item x="31"/>
        <item x="487"/>
        <item x="563"/>
        <item x="149"/>
        <item x="412"/>
        <item x="568"/>
        <item x="57"/>
        <item x="560"/>
        <item x="470"/>
        <item x="242"/>
        <item x="854"/>
        <item x="333"/>
        <item x="575"/>
        <item x="691"/>
        <item x="657"/>
        <item x="532"/>
        <item x="338"/>
        <item x="817"/>
        <item x="784"/>
        <item x="776"/>
        <item x="647"/>
        <item x="465"/>
        <item x="185"/>
        <item x="852"/>
        <item x="802"/>
        <item x="427"/>
        <item x="685"/>
        <item x="887"/>
        <item x="248"/>
        <item x="615"/>
        <item x="300"/>
        <item x="270"/>
        <item x="564"/>
        <item x="469"/>
        <item x="782"/>
        <item x="342"/>
        <item x="162"/>
        <item x="825"/>
        <item x="271"/>
        <item x="668"/>
        <item x="806"/>
        <item x="279"/>
        <item x="621"/>
        <item x="383"/>
        <item x="941"/>
        <item x="460"/>
        <item x="919"/>
        <item x="942"/>
        <item x="917"/>
        <item x="52"/>
        <item x="179"/>
        <item x="553"/>
        <item x="414"/>
        <item x="513"/>
        <item x="425"/>
        <item x="906"/>
        <item x="214"/>
        <item x="163"/>
        <item x="395"/>
        <item x="689"/>
        <item x="360"/>
        <item x="503"/>
        <item x="909"/>
        <item x="550"/>
        <item x="976"/>
        <item x="243"/>
        <item x="99"/>
        <item x="407"/>
        <item x="538"/>
        <item x="597"/>
        <item x="478"/>
        <item x="604"/>
        <item x="116"/>
        <item x="434"/>
        <item x="593"/>
        <item x="963"/>
        <item x="790"/>
        <item x="763"/>
        <item x="836"/>
        <item x="171"/>
        <item x="484"/>
        <item x="443"/>
        <item x="655"/>
        <item x="514"/>
        <item x="174"/>
        <item x="709"/>
        <item x="529"/>
        <item x="607"/>
        <item x="348"/>
        <item x="561"/>
        <item x="252"/>
        <item x="591"/>
        <item x="555"/>
        <item x="471"/>
        <item x="787"/>
        <item x="832"/>
        <item x="40"/>
        <item x="785"/>
        <item x="828"/>
        <item x="489"/>
        <item x="66"/>
        <item x="12"/>
        <item x="258"/>
        <item x="164"/>
        <item x="117"/>
        <item x="56"/>
        <item x="846"/>
        <item x="669"/>
        <item x="943"/>
        <item x="317"/>
        <item x="207"/>
        <item x="681"/>
        <item x="495"/>
        <item x="282"/>
        <item x="596"/>
        <item x="680"/>
        <item x="222"/>
        <item x="718"/>
        <item x="95"/>
        <item x="266"/>
        <item x="91"/>
        <item x="17"/>
        <item x="303"/>
        <item x="756"/>
        <item x="521"/>
        <item x="937"/>
        <item x="500"/>
        <item x="798"/>
        <item x="665"/>
        <item x="72"/>
        <item x="760"/>
        <item x="296"/>
        <item x="788"/>
        <item x="240"/>
        <item x="539"/>
        <item x="694"/>
        <item x="705"/>
        <item x="118"/>
        <item x="687"/>
        <item x="371"/>
        <item x="67"/>
        <item x="227"/>
        <item x="93"/>
        <item x="295"/>
        <item x="400"/>
        <item x="195"/>
        <item x="969"/>
        <item x="343"/>
        <item x="50"/>
        <item x="973"/>
        <item x="399"/>
        <item x="448"/>
        <item x="870"/>
        <item x="196"/>
        <item x="370"/>
        <item x="594"/>
        <item x="926"/>
        <item x="94"/>
        <item x="293"/>
        <item x="9"/>
        <item x="433"/>
        <item x="775"/>
        <item x="786"/>
        <item x="605"/>
        <item x="892"/>
        <item x="221"/>
        <item x="485"/>
        <item x="54"/>
        <item x="666"/>
        <item x="313"/>
        <item x="589"/>
        <item x="259"/>
        <item x="219"/>
        <item x="193"/>
        <item x="449"/>
        <item x="154"/>
        <item x="98"/>
        <item x="966"/>
        <item x="101"/>
        <item x="438"/>
        <item x="868"/>
        <item x="820"/>
        <item x="494"/>
        <item x="518"/>
        <item x="203"/>
        <item x="367"/>
        <item x="127"/>
        <item x="712"/>
        <item x="778"/>
        <item x="971"/>
        <item x="981"/>
        <item x="574"/>
        <item x="439"/>
        <item x="110"/>
        <item x="840"/>
        <item x="869"/>
        <item x="793"/>
        <item x="394"/>
        <item x="779"/>
        <item x="866"/>
        <item x="982"/>
        <item x="256"/>
        <item x="653"/>
        <item x="875"/>
        <item x="750"/>
        <item x="48"/>
        <item x="772"/>
        <item x="916"/>
        <item x="304"/>
        <item x="587"/>
        <item x="329"/>
        <item x="914"/>
        <item x="972"/>
        <item x="883"/>
        <item x="354"/>
        <item x="833"/>
        <item x="37"/>
        <item x="323"/>
        <item x="316"/>
        <item x="29"/>
        <item x="87"/>
        <item x="960"/>
        <item x="733"/>
        <item x="506"/>
        <item x="956"/>
        <item x="517"/>
        <item x="301"/>
        <item x="442"/>
        <item x="855"/>
        <item x="813"/>
        <item x="78"/>
        <item x="417"/>
        <item x="645"/>
        <item x="965"/>
        <item x="888"/>
        <item x="558"/>
        <item x="380"/>
        <item x="674"/>
        <item x="695"/>
        <item x="544"/>
        <item x="946"/>
        <item x="582"/>
        <item x="158"/>
        <item x="351"/>
        <item x="929"/>
        <item x="747"/>
        <item x="945"/>
        <item x="536"/>
        <item x="398"/>
        <item x="388"/>
        <item x="889"/>
        <item x="51"/>
        <item x="387"/>
        <item x="381"/>
        <item x="408"/>
        <item x="89"/>
        <item x="161"/>
        <item x="804"/>
        <item x="125"/>
        <item x="873"/>
        <item x="715"/>
        <item x="739"/>
        <item x="175"/>
        <item x="524"/>
        <item x="285"/>
        <item x="382"/>
        <item x="893"/>
        <item x="752"/>
        <item x="228"/>
        <item x="192"/>
        <item x="614"/>
        <item x="768"/>
        <item x="64"/>
        <item x="393"/>
        <item x="312"/>
        <item x="765"/>
        <item x="633"/>
        <item x="881"/>
        <item x="426"/>
        <item x="241"/>
        <item x="139"/>
        <item x="545"/>
        <item x="975"/>
        <item x="473"/>
        <item x="411"/>
        <item x="907"/>
        <item x="573"/>
        <item x="671"/>
        <item x="27"/>
        <item x="684"/>
        <item x="948"/>
        <item x="525"/>
        <item x="131"/>
        <item x="404"/>
        <item x="440"/>
        <item x="819"/>
        <item x="959"/>
        <item x="299"/>
        <item x="462"/>
        <item x="233"/>
        <item x="476"/>
        <item x="418"/>
        <item x="477"/>
        <item x="217"/>
        <item x="365"/>
        <item x="30"/>
        <item x="144"/>
        <item x="925"/>
        <item x="337"/>
        <item x="341"/>
        <item x="377"/>
        <item x="413"/>
        <item x="7"/>
        <item x="736"/>
        <item x="210"/>
        <item x="809"/>
        <item x="764"/>
        <item x="619"/>
        <item x="405"/>
        <item x="770"/>
        <item x="522"/>
        <item x="745"/>
        <item x="311"/>
        <item x="723"/>
        <item x="693"/>
        <item x="766"/>
        <item x="13"/>
        <item x="62"/>
        <item x="320"/>
        <item x="861"/>
        <item x="639"/>
        <item x="600"/>
        <item x="79"/>
        <item x="728"/>
        <item x="429"/>
        <item x="199"/>
        <item x="86"/>
        <item x="616"/>
        <item x="297"/>
        <item x="543"/>
        <item x="631"/>
        <item x="310"/>
        <item x="268"/>
        <item x="198"/>
        <item x="226"/>
        <item x="444"/>
        <item x="629"/>
        <item x="481"/>
        <item x="601"/>
        <item x="488"/>
        <item x="810"/>
        <item x="944"/>
        <item x="47"/>
        <item x="595"/>
        <item x="308"/>
        <item x="276"/>
        <item x="281"/>
        <item x="930"/>
        <item x="458"/>
        <item x="155"/>
        <item x="576"/>
        <item x="453"/>
        <item x="839"/>
        <item x="437"/>
        <item x="197"/>
        <item x="880"/>
        <item x="172"/>
        <item x="837"/>
        <item x="901"/>
        <item x="540"/>
        <item x="841"/>
        <item x="80"/>
        <item x="216"/>
        <item t="default"/>
      </items>
    </pivotField>
    <pivotField showAll="0">
      <items count="16">
        <item x="11"/>
        <item x="0"/>
        <item x="13"/>
        <item x="3"/>
        <item x="2"/>
        <item x="7"/>
        <item x="4"/>
        <item x="6"/>
        <item x="1"/>
        <item x="10"/>
        <item x="9"/>
        <item x="5"/>
        <item x="14"/>
        <item x="12"/>
        <item x="8"/>
        <item t="default"/>
      </items>
    </pivotField>
    <pivotField dataField="1" showAll="0">
      <items count="999">
        <item x="645"/>
        <item x="620"/>
        <item x="359"/>
        <item x="10"/>
        <item x="43"/>
        <item x="716"/>
        <item x="137"/>
        <item x="392"/>
        <item x="794"/>
        <item x="245"/>
        <item x="316"/>
        <item x="692"/>
        <item x="771"/>
        <item x="885"/>
        <item x="45"/>
        <item x="474"/>
        <item x="611"/>
        <item x="129"/>
        <item x="336"/>
        <item x="788"/>
        <item x="543"/>
        <item x="208"/>
        <item x="334"/>
        <item x="55"/>
        <item x="587"/>
        <item x="448"/>
        <item x="168"/>
        <item x="70"/>
        <item x="141"/>
        <item x="113"/>
        <item x="235"/>
        <item x="741"/>
        <item x="661"/>
        <item x="309"/>
        <item x="124"/>
        <item x="775"/>
        <item x="946"/>
        <item x="23"/>
        <item x="957"/>
        <item x="258"/>
        <item x="677"/>
        <item x="841"/>
        <item x="899"/>
        <item x="58"/>
        <item x="525"/>
        <item x="153"/>
        <item x="513"/>
        <item x="660"/>
        <item x="103"/>
        <item x="799"/>
        <item x="937"/>
        <item x="925"/>
        <item x="187"/>
        <item x="236"/>
        <item x="894"/>
        <item x="188"/>
        <item x="978"/>
        <item x="948"/>
        <item x="824"/>
        <item x="989"/>
        <item x="266"/>
        <item x="910"/>
        <item x="399"/>
        <item x="83"/>
        <item x="434"/>
        <item x="376"/>
        <item x="730"/>
        <item x="432"/>
        <item x="255"/>
        <item x="443"/>
        <item x="666"/>
        <item x="500"/>
        <item x="735"/>
        <item x="25"/>
        <item x="864"/>
        <item x="685"/>
        <item x="640"/>
        <item x="378"/>
        <item x="764"/>
        <item x="918"/>
        <item x="744"/>
        <item x="186"/>
        <item x="613"/>
        <item x="6"/>
        <item x="404"/>
        <item x="249"/>
        <item x="988"/>
        <item x="371"/>
        <item x="494"/>
        <item x="38"/>
        <item x="942"/>
        <item x="3"/>
        <item x="368"/>
        <item x="169"/>
        <item x="812"/>
        <item x="28"/>
        <item x="184"/>
        <item x="213"/>
        <item x="733"/>
        <item x="19"/>
        <item x="360"/>
        <item x="583"/>
        <item x="985"/>
        <item x="165"/>
        <item x="277"/>
        <item x="965"/>
        <item x="463"/>
        <item x="147"/>
        <item x="964"/>
        <item x="693"/>
        <item x="84"/>
        <item x="393"/>
        <item x="765"/>
        <item x="549"/>
        <item x="944"/>
        <item x="840"/>
        <item x="272"/>
        <item x="457"/>
        <item x="344"/>
        <item x="162"/>
        <item x="386"/>
        <item x="528"/>
        <item x="152"/>
        <item x="76"/>
        <item x="672"/>
        <item x="604"/>
        <item x="71"/>
        <item x="564"/>
        <item x="930"/>
        <item x="351"/>
        <item x="436"/>
        <item x="572"/>
        <item x="963"/>
        <item x="453"/>
        <item x="250"/>
        <item x="355"/>
        <item x="590"/>
        <item x="865"/>
        <item x="928"/>
        <item x="262"/>
        <item x="132"/>
        <item x="523"/>
        <item x="97"/>
        <item x="863"/>
        <item x="763"/>
        <item x="906"/>
        <item x="914"/>
        <item x="244"/>
        <item x="689"/>
        <item x="536"/>
        <item x="195"/>
        <item x="345"/>
        <item x="438"/>
        <item x="866"/>
        <item x="836"/>
        <item x="361"/>
        <item x="591"/>
        <item x="876"/>
        <item x="119"/>
        <item x="229"/>
        <item x="847"/>
        <item x="421"/>
        <item x="493"/>
        <item x="873"/>
        <item x="308"/>
        <item x="973"/>
        <item x="2"/>
        <item x="680"/>
        <item x="74"/>
        <item x="627"/>
        <item x="458"/>
        <item x="444"/>
        <item x="5"/>
        <item x="418"/>
        <item x="854"/>
        <item x="333"/>
        <item x="751"/>
        <item x="291"/>
        <item x="151"/>
        <item x="923"/>
        <item x="939"/>
        <item x="913"/>
        <item x="346"/>
        <item x="231"/>
        <item x="175"/>
        <item x="922"/>
        <item x="417"/>
        <item x="1"/>
        <item x="428"/>
        <item x="503"/>
        <item x="475"/>
        <item x="708"/>
        <item x="501"/>
        <item x="713"/>
        <item x="36"/>
        <item x="320"/>
        <item x="504"/>
        <item x="630"/>
        <item x="912"/>
        <item x="975"/>
        <item x="191"/>
        <item x="574"/>
        <item x="734"/>
        <item x="77"/>
        <item x="797"/>
        <item x="122"/>
        <item x="829"/>
        <item x="608"/>
        <item x="327"/>
        <item x="446"/>
        <item x="705"/>
        <item x="954"/>
        <item x="354"/>
        <item x="182"/>
        <item x="42"/>
        <item x="718"/>
        <item x="194"/>
        <item x="21"/>
        <item x="813"/>
        <item x="728"/>
        <item x="452"/>
        <item x="285"/>
        <item x="738"/>
        <item x="712"/>
        <item x="610"/>
        <item x="264"/>
        <item x="130"/>
        <item x="643"/>
        <item x="817"/>
        <item x="211"/>
        <item x="636"/>
        <item x="0"/>
        <item x="60"/>
        <item x="116"/>
        <item x="477"/>
        <item x="32"/>
        <item x="729"/>
        <item x="860"/>
        <item x="140"/>
        <item x="289"/>
        <item x="337"/>
        <item x="806"/>
        <item x="44"/>
        <item x="90"/>
        <item x="832"/>
        <item x="539"/>
        <item x="664"/>
        <item x="723"/>
        <item x="938"/>
        <item x="465"/>
        <item x="858"/>
        <item x="522"/>
        <item x="105"/>
        <item x="183"/>
        <item x="148"/>
        <item x="269"/>
        <item x="995"/>
        <item x="570"/>
        <item x="49"/>
        <item x="760"/>
        <item x="143"/>
        <item x="582"/>
        <item x="900"/>
        <item x="338"/>
        <item x="209"/>
        <item x="715"/>
        <item x="544"/>
        <item x="467"/>
        <item x="224"/>
        <item x="869"/>
        <item x="895"/>
        <item x="65"/>
        <item x="107"/>
        <item x="745"/>
        <item x="157"/>
        <item x="787"/>
        <item x="969"/>
        <item x="173"/>
        <item x="916"/>
        <item x="362"/>
        <item x="919"/>
        <item x="39"/>
        <item x="290"/>
        <item x="433"/>
        <item x="882"/>
        <item x="795"/>
        <item x="657"/>
        <item x="905"/>
        <item x="950"/>
        <item x="516"/>
        <item x="901"/>
        <item x="4"/>
        <item x="773"/>
        <item x="22"/>
        <item x="81"/>
        <item x="128"/>
        <item x="66"/>
        <item x="164"/>
        <item x="853"/>
        <item x="466"/>
        <item x="485"/>
        <item x="17"/>
        <item x="20"/>
        <item x="579"/>
        <item x="793"/>
        <item x="703"/>
        <item x="408"/>
        <item x="669"/>
        <item x="114"/>
        <item x="810"/>
        <item x="934"/>
        <item x="752"/>
        <item x="247"/>
        <item x="902"/>
        <item x="805"/>
        <item x="594"/>
        <item x="532"/>
        <item x="638"/>
        <item x="239"/>
        <item x="781"/>
        <item x="104"/>
        <item x="520"/>
        <item x="908"/>
        <item x="650"/>
        <item x="176"/>
        <item x="499"/>
        <item x="548"/>
        <item x="892"/>
        <item x="784"/>
        <item x="822"/>
        <item x="679"/>
        <item x="642"/>
        <item x="495"/>
        <item x="85"/>
        <item x="651"/>
        <item x="941"/>
        <item x="971"/>
        <item x="782"/>
        <item x="700"/>
        <item x="600"/>
        <item x="470"/>
        <item x="46"/>
        <item x="896"/>
        <item x="990"/>
        <item x="108"/>
        <item x="830"/>
        <item x="732"/>
        <item x="389"/>
        <item x="809"/>
        <item x="110"/>
        <item x="212"/>
        <item x="768"/>
        <item x="53"/>
        <item x="241"/>
        <item x="909"/>
        <item x="575"/>
        <item x="347"/>
        <item x="959"/>
        <item x="559"/>
        <item x="709"/>
        <item x="288"/>
        <item x="931"/>
        <item x="479"/>
        <item x="981"/>
        <item x="662"/>
        <item x="767"/>
        <item x="407"/>
        <item x="774"/>
        <item x="644"/>
        <item x="945"/>
        <item x="246"/>
        <item x="769"/>
        <item x="615"/>
        <item x="482"/>
        <item x="514"/>
        <item x="915"/>
        <item x="370"/>
        <item x="625"/>
        <item x="823"/>
        <item x="561"/>
        <item x="490"/>
        <item x="388"/>
        <item x="622"/>
        <item x="943"/>
        <item x="492"/>
        <item x="807"/>
        <item x="82"/>
        <item x="120"/>
        <item x="688"/>
        <item x="180"/>
        <item x="586"/>
        <item x="951"/>
        <item x="462"/>
        <item x="857"/>
        <item x="927"/>
        <item x="159"/>
        <item x="997"/>
        <item x="699"/>
        <item x="294"/>
        <item x="850"/>
        <item x="480"/>
        <item x="115"/>
        <item x="126"/>
        <item x="341"/>
        <item x="870"/>
        <item x="26"/>
        <item x="510"/>
        <item x="365"/>
        <item x="276"/>
        <item x="849"/>
        <item x="204"/>
        <item x="624"/>
        <item x="663"/>
        <item x="571"/>
        <item x="953"/>
        <item x="818"/>
        <item x="207"/>
        <item x="551"/>
        <item x="136"/>
        <item x="329"/>
        <item x="759"/>
        <item x="803"/>
        <item x="72"/>
        <item x="240"/>
        <item x="279"/>
        <item x="601"/>
        <item x="50"/>
        <item x="785"/>
        <item x="449"/>
        <item x="366"/>
        <item x="381"/>
        <item x="779"/>
        <item x="498"/>
        <item x="821"/>
        <item x="261"/>
        <item x="193"/>
        <item x="357"/>
        <item x="893"/>
        <item x="968"/>
        <item x="887"/>
        <item x="202"/>
        <item x="714"/>
        <item x="844"/>
        <item x="665"/>
        <item x="798"/>
        <item x="257"/>
        <item x="138"/>
        <item x="223"/>
        <item x="996"/>
        <item x="414"/>
        <item x="387"/>
        <item x="674"/>
        <item x="87"/>
        <item x="770"/>
        <item x="749"/>
        <item x="819"/>
        <item x="588"/>
        <item x="879"/>
        <item x="349"/>
        <item x="859"/>
        <item x="398"/>
        <item x="390"/>
        <item x="897"/>
        <item x="41"/>
        <item x="220"/>
        <item x="811"/>
        <item x="314"/>
        <item x="437"/>
        <item x="33"/>
        <item x="796"/>
        <item x="52"/>
        <item x="555"/>
        <item x="201"/>
        <item x="214"/>
        <item x="69"/>
        <item x="375"/>
        <item x="142"/>
        <item x="825"/>
        <item x="307"/>
        <item x="424"/>
        <item x="972"/>
        <item x="230"/>
        <item x="170"/>
        <item x="653"/>
        <item x="698"/>
        <item x="524"/>
        <item x="265"/>
        <item x="348"/>
        <item x="748"/>
        <item x="488"/>
        <item x="380"/>
        <item x="711"/>
        <item x="96"/>
        <item x="481"/>
        <item x="218"/>
        <item x="252"/>
        <item x="267"/>
        <item x="553"/>
        <item x="24"/>
        <item x="270"/>
        <item x="123"/>
        <item x="278"/>
        <item x="150"/>
        <item x="75"/>
        <item x="117"/>
        <item x="155"/>
        <item x="585"/>
        <item x="846"/>
        <item x="271"/>
        <item x="14"/>
        <item x="172"/>
        <item x="225"/>
        <item x="867"/>
        <item x="979"/>
        <item x="181"/>
        <item x="568"/>
        <item x="11"/>
        <item x="614"/>
        <item x="626"/>
        <item x="808"/>
        <item x="358"/>
        <item x="232"/>
        <item x="450"/>
        <item x="719"/>
        <item x="721"/>
        <item x="828"/>
        <item x="737"/>
        <item x="234"/>
        <item x="219"/>
        <item x="321"/>
        <item x="340"/>
        <item x="342"/>
        <item x="920"/>
        <item x="440"/>
        <item x="256"/>
        <item x="801"/>
        <item x="454"/>
        <item x="363"/>
        <item x="654"/>
        <item x="296"/>
        <item x="761"/>
        <item x="704"/>
        <item x="484"/>
        <item x="396"/>
        <item x="251"/>
        <item x="61"/>
        <item x="758"/>
        <item x="537"/>
        <item x="405"/>
        <item x="722"/>
        <item x="926"/>
        <item x="856"/>
        <item x="983"/>
        <item x="34"/>
        <item x="515"/>
        <item x="506"/>
        <item x="397"/>
        <item x="391"/>
        <item x="374"/>
        <item x="656"/>
        <item x="459"/>
        <item x="907"/>
        <item x="629"/>
        <item x="192"/>
        <item x="550"/>
        <item x="681"/>
        <item x="702"/>
        <item x="215"/>
        <item x="411"/>
        <item x="898"/>
        <item x="178"/>
        <item x="18"/>
        <item x="628"/>
        <item x="304"/>
        <item x="556"/>
        <item x="958"/>
        <item x="426"/>
        <item x="210"/>
        <item x="683"/>
        <item x="569"/>
        <item x="268"/>
        <item x="111"/>
        <item x="646"/>
        <item x="102"/>
        <item x="100"/>
        <item x="535"/>
        <item x="577"/>
        <item x="412"/>
        <item x="743"/>
        <item x="292"/>
        <item x="156"/>
        <item x="133"/>
        <item x="206"/>
        <item x="612"/>
        <item x="286"/>
        <item x="984"/>
        <item x="802"/>
        <item x="425"/>
        <item x="994"/>
        <item x="936"/>
        <item x="754"/>
        <item x="874"/>
        <item x="684"/>
        <item x="791"/>
        <item x="949"/>
        <item x="637"/>
        <item x="447"/>
        <item x="451"/>
        <item x="112"/>
        <item x="890"/>
        <item x="101"/>
        <item x="872"/>
        <item x="690"/>
        <item x="623"/>
        <item x="385"/>
        <item x="127"/>
        <item x="238"/>
        <item x="675"/>
        <item x="786"/>
        <item x="581"/>
        <item x="332"/>
        <item x="468"/>
        <item x="701"/>
        <item x="932"/>
        <item x="456"/>
        <item x="658"/>
        <item x="842"/>
        <item x="533"/>
        <item x="519"/>
        <item x="200"/>
        <item x="8"/>
        <item x="580"/>
        <item x="73"/>
        <item x="956"/>
        <item x="838"/>
        <item x="328"/>
        <item x="134"/>
        <item x="804"/>
        <item x="317"/>
        <item x="955"/>
        <item x="177"/>
        <item x="12"/>
        <item x="489"/>
        <item x="565"/>
        <item x="472"/>
        <item x="146"/>
        <item x="430"/>
        <item x="377"/>
        <item x="966"/>
        <item x="423"/>
        <item x="855"/>
        <item x="394"/>
        <item x="947"/>
        <item x="530"/>
        <item x="667"/>
        <item x="724"/>
        <item x="429"/>
        <item x="687"/>
        <item x="237"/>
        <item x="726"/>
        <item x="800"/>
        <item x="933"/>
        <item x="670"/>
        <item x="619"/>
        <item x="921"/>
        <item x="274"/>
        <item x="79"/>
        <item x="518"/>
        <item x="299"/>
        <item x="511"/>
        <item x="517"/>
        <item x="63"/>
        <item x="275"/>
        <item x="886"/>
        <item x="455"/>
        <item x="706"/>
        <item x="766"/>
        <item x="216"/>
        <item x="993"/>
        <item x="403"/>
        <item x="106"/>
        <item x="512"/>
        <item x="149"/>
        <item x="762"/>
        <item x="242"/>
        <item x="160"/>
        <item x="676"/>
        <item x="671"/>
        <item x="649"/>
        <item x="710"/>
        <item x="469"/>
        <item x="991"/>
        <item x="16"/>
        <item x="678"/>
        <item x="755"/>
        <item x="696"/>
        <item x="471"/>
        <item x="652"/>
        <item x="746"/>
        <item x="889"/>
        <item x="145"/>
        <item x="323"/>
        <item x="980"/>
        <item x="121"/>
        <item x="845"/>
        <item x="529"/>
        <item x="352"/>
        <item x="68"/>
        <item x="596"/>
        <item x="837"/>
        <item x="756"/>
        <item x="904"/>
        <item x="324"/>
        <item x="367"/>
        <item x="757"/>
        <item x="599"/>
        <item x="98"/>
        <item x="727"/>
        <item x="31"/>
        <item x="777"/>
        <item x="15"/>
        <item x="445"/>
        <item x="13"/>
        <item x="659"/>
        <item x="634"/>
        <item x="884"/>
        <item x="558"/>
        <item x="135"/>
        <item x="790"/>
        <item x="631"/>
        <item x="827"/>
        <item x="605"/>
        <item x="461"/>
        <item x="833"/>
        <item x="578"/>
        <item x="820"/>
        <item x="960"/>
        <item x="303"/>
        <item x="851"/>
        <item x="875"/>
        <item x="554"/>
        <item x="647"/>
        <item x="573"/>
        <item x="502"/>
        <item x="929"/>
        <item x="253"/>
        <item x="538"/>
        <item x="707"/>
        <item x="416"/>
        <item x="163"/>
        <item x="691"/>
        <item x="694"/>
        <item x="592"/>
        <item x="190"/>
        <item x="552"/>
        <item x="835"/>
        <item x="196"/>
        <item x="772"/>
        <item x="435"/>
        <item x="917"/>
        <item x="977"/>
        <item x="233"/>
        <item x="369"/>
        <item x="557"/>
        <item x="30"/>
        <item x="280"/>
        <item x="92"/>
        <item x="364"/>
        <item x="109"/>
        <item x="35"/>
        <item x="639"/>
        <item x="962"/>
        <item x="313"/>
        <item x="205"/>
        <item x="189"/>
        <item x="254"/>
        <item x="682"/>
        <item x="305"/>
        <item x="37"/>
        <item x="815"/>
        <item x="298"/>
        <item x="293"/>
        <item x="310"/>
        <item x="439"/>
        <item x="382"/>
        <item x="632"/>
        <item x="697"/>
        <item x="961"/>
        <item x="99"/>
        <item x="335"/>
        <item x="747"/>
        <item x="778"/>
        <item x="534"/>
        <item x="295"/>
        <item x="486"/>
        <item x="228"/>
        <item x="780"/>
        <item x="54"/>
        <item x="174"/>
        <item x="350"/>
        <item x="311"/>
        <item x="167"/>
        <item x="300"/>
        <item x="413"/>
        <item x="617"/>
        <item x="422"/>
        <item x="166"/>
        <item x="740"/>
        <item x="497"/>
        <item x="284"/>
        <item x="88"/>
        <item x="621"/>
        <item x="720"/>
        <item x="427"/>
        <item x="282"/>
        <item x="476"/>
        <item x="861"/>
        <item x="243"/>
        <item x="567"/>
        <item x="967"/>
        <item x="67"/>
        <item x="606"/>
        <item x="227"/>
        <item x="871"/>
        <item x="402"/>
        <item x="974"/>
        <item x="198"/>
        <item x="789"/>
        <item x="263"/>
        <item x="401"/>
        <item x="94"/>
        <item x="940"/>
        <item x="521"/>
        <item x="197"/>
        <item x="648"/>
        <item x="302"/>
        <item x="509"/>
        <item x="384"/>
        <item x="259"/>
        <item x="273"/>
        <item x="826"/>
        <item x="783"/>
        <item x="952"/>
        <item x="880"/>
        <item x="339"/>
        <item x="379"/>
        <item x="330"/>
        <item x="814"/>
        <item x="924"/>
        <item x="595"/>
        <item x="373"/>
        <item x="29"/>
        <item x="297"/>
        <item x="326"/>
        <item x="62"/>
        <item x="322"/>
        <item x="531"/>
        <item x="862"/>
        <item x="372"/>
        <item x="78"/>
        <item x="563"/>
        <item x="473"/>
        <item x="566"/>
        <item x="40"/>
        <item x="507"/>
        <item x="483"/>
        <item x="603"/>
        <item x="816"/>
        <item x="51"/>
        <item x="852"/>
        <item x="562"/>
        <item x="717"/>
        <item x="982"/>
        <item x="635"/>
        <item x="987"/>
        <item x="95"/>
        <item x="91"/>
        <item x="409"/>
        <item x="59"/>
        <item x="655"/>
        <item x="131"/>
        <item x="118"/>
        <item x="171"/>
        <item x="301"/>
        <item x="248"/>
        <item x="356"/>
        <item x="325"/>
        <item x="736"/>
        <item x="831"/>
        <item x="792"/>
        <item x="281"/>
        <item x="9"/>
        <item x="57"/>
        <item x="179"/>
        <item x="353"/>
        <item x="56"/>
        <item x="505"/>
        <item x="319"/>
        <item x="881"/>
        <item x="203"/>
        <item x="598"/>
        <item x="222"/>
        <item x="441"/>
        <item x="185"/>
        <item x="848"/>
        <item x="541"/>
        <item x="986"/>
        <item x="609"/>
        <item x="27"/>
        <item x="593"/>
        <item x="442"/>
        <item x="839"/>
        <item x="318"/>
        <item x="834"/>
        <item x="415"/>
        <item x="668"/>
        <item x="315"/>
        <item x="560"/>
        <item x="584"/>
        <item x="158"/>
        <item x="725"/>
        <item x="540"/>
        <item x="400"/>
        <item x="618"/>
        <item x="576"/>
        <item x="903"/>
        <item x="93"/>
        <item x="911"/>
        <item x="542"/>
        <item x="673"/>
        <item x="589"/>
        <item x="878"/>
        <item x="491"/>
        <item x="686"/>
        <item x="406"/>
        <item x="260"/>
        <item x="221"/>
        <item x="478"/>
        <item x="935"/>
        <item x="7"/>
        <item x="739"/>
        <item x="976"/>
        <item x="546"/>
        <item x="992"/>
        <item x="383"/>
        <item x="731"/>
        <item x="125"/>
        <item x="431"/>
        <item x="287"/>
        <item x="64"/>
        <item x="139"/>
        <item x="547"/>
        <item x="597"/>
        <item x="306"/>
        <item x="331"/>
        <item x="607"/>
        <item x="888"/>
        <item x="843"/>
        <item x="487"/>
        <item x="527"/>
        <item x="464"/>
        <item x="154"/>
        <item x="144"/>
        <item x="343"/>
        <item x="496"/>
        <item x="750"/>
        <item x="877"/>
        <item x="410"/>
        <item x="883"/>
        <item x="753"/>
        <item x="395"/>
        <item x="312"/>
        <item x="48"/>
        <item x="776"/>
        <item x="891"/>
        <item x="460"/>
        <item x="508"/>
        <item x="80"/>
        <item x="970"/>
        <item x="419"/>
        <item x="89"/>
        <item x="161"/>
        <item x="742"/>
        <item x="695"/>
        <item x="526"/>
        <item x="602"/>
        <item x="616"/>
        <item x="47"/>
        <item x="420"/>
        <item x="217"/>
        <item x="868"/>
        <item x="641"/>
        <item x="199"/>
        <item x="86"/>
        <item x="545"/>
        <item x="633"/>
        <item x="226"/>
        <item x="283"/>
        <item t="default"/>
      </items>
    </pivotField>
    <pivotField dataField="1" showAll="0">
      <items count="32">
        <item x="8"/>
        <item x="2"/>
        <item x="18"/>
        <item x="12"/>
        <item x="29"/>
        <item x="4"/>
        <item x="11"/>
        <item x="13"/>
        <item x="14"/>
        <item x="25"/>
        <item x="20"/>
        <item x="1"/>
        <item x="22"/>
        <item x="6"/>
        <item x="3"/>
        <item x="27"/>
        <item x="16"/>
        <item x="7"/>
        <item x="23"/>
        <item x="19"/>
        <item x="21"/>
        <item x="24"/>
        <item x="28"/>
        <item x="0"/>
        <item x="9"/>
        <item x="15"/>
        <item x="10"/>
        <item x="17"/>
        <item x="5"/>
        <item x="26"/>
        <item x="30"/>
        <item t="default"/>
      </items>
    </pivotField>
    <pivotField dataField="1" showAll="0">
      <items count="991">
        <item x="198"/>
        <item x="870"/>
        <item x="836"/>
        <item x="749"/>
        <item x="729"/>
        <item x="408"/>
        <item x="221"/>
        <item x="671"/>
        <item x="545"/>
        <item x="178"/>
        <item x="407"/>
        <item x="808"/>
        <item x="337"/>
        <item x="439"/>
        <item x="139"/>
        <item x="543"/>
        <item x="525"/>
        <item x="666"/>
        <item x="418"/>
        <item x="538"/>
        <item x="163"/>
        <item x="125"/>
        <item x="955"/>
        <item x="979"/>
        <item x="574"/>
        <item x="131"/>
        <item x="420"/>
        <item x="317"/>
        <item x="723"/>
        <item x="323"/>
        <item x="202"/>
        <item x="877"/>
        <item x="767"/>
        <item x="933"/>
        <item x="380"/>
        <item x="216"/>
        <item x="56"/>
        <item x="657"/>
        <item x="154"/>
        <item x="882"/>
        <item x="467"/>
        <item x="970"/>
        <item x="903"/>
        <item x="695"/>
        <item x="984"/>
        <item x="773"/>
        <item x="252"/>
        <item x="556"/>
        <item x="591"/>
        <item x="215"/>
        <item x="693"/>
        <item x="414"/>
        <item x="786"/>
        <item x="393"/>
        <item x="274"/>
        <item x="149"/>
        <item x="942"/>
        <item x="809"/>
        <item x="94"/>
        <item x="399"/>
        <item x="539"/>
        <item x="57"/>
        <item x="226"/>
        <item x="519"/>
        <item x="682"/>
        <item x="868"/>
        <item x="297"/>
        <item x="204"/>
        <item x="232"/>
        <item x="37"/>
        <item x="40"/>
        <item x="329"/>
        <item x="189"/>
        <item x="845"/>
        <item x="820"/>
        <item x="184"/>
        <item x="79"/>
        <item x="160"/>
        <item x="673"/>
        <item x="605"/>
        <item x="536"/>
        <item x="607"/>
        <item x="561"/>
        <item x="309"/>
        <item x="813"/>
        <item x="176"/>
        <item x="62"/>
        <item x="653"/>
        <item x="704"/>
        <item x="64"/>
        <item x="951"/>
        <item x="197"/>
        <item x="883"/>
        <item x="619"/>
        <item x="700"/>
        <item x="145"/>
        <item x="743"/>
        <item x="551"/>
        <item x="48"/>
        <item x="827"/>
        <item x="13"/>
        <item x="509"/>
        <item x="922"/>
        <item x="960"/>
        <item x="864"/>
        <item x="445"/>
        <item x="195"/>
        <item x="68"/>
        <item x="469"/>
        <item x="886"/>
        <item x="854"/>
        <item x="479"/>
        <item x="9"/>
        <item x="133"/>
        <item x="466"/>
        <item x="872"/>
        <item x="504"/>
        <item x="555"/>
        <item x="680"/>
        <item x="510"/>
        <item x="627"/>
        <item x="489"/>
        <item x="645"/>
        <item x="895"/>
        <item x="508"/>
        <item x="126"/>
        <item x="579"/>
        <item x="326"/>
        <item x="651"/>
        <item x="356"/>
        <item x="975"/>
        <item x="734"/>
        <item x="69"/>
        <item x="896"/>
        <item x="255"/>
        <item x="315"/>
        <item x="566"/>
        <item x="159"/>
        <item x="106"/>
        <item x="818"/>
        <item x="795"/>
        <item x="474"/>
        <item x="860"/>
        <item x="270"/>
        <item x="705"/>
        <item x="438"/>
        <item x="595"/>
        <item x="963"/>
        <item x="676"/>
        <item x="646"/>
        <item x="985"/>
        <item x="462"/>
        <item x="688"/>
        <item x="928"/>
        <item x="819"/>
        <item x="218"/>
        <item x="615"/>
        <item x="849"/>
        <item x="269"/>
        <item x="793"/>
        <item x="533"/>
        <item x="601"/>
        <item x="371"/>
        <item x="550"/>
        <item x="674"/>
        <item x="945"/>
        <item x="150"/>
        <item x="798"/>
        <item x="272"/>
        <item x="603"/>
        <item x="403"/>
        <item x="612"/>
        <item x="464"/>
        <item x="27"/>
        <item x="322"/>
        <item x="34"/>
        <item x="559"/>
        <item x="110"/>
        <item x="192"/>
        <item x="278"/>
        <item x="661"/>
        <item x="75"/>
        <item x="312"/>
        <item x="203"/>
        <item x="421"/>
        <item x="598"/>
        <item x="396"/>
        <item x="231"/>
        <item x="880"/>
        <item x="454"/>
        <item x="294"/>
        <item x="483"/>
        <item x="41"/>
        <item x="440"/>
        <item x="11"/>
        <item x="677"/>
        <item x="339"/>
        <item x="167"/>
        <item x="718"/>
        <item x="863"/>
        <item x="351"/>
        <item x="750"/>
        <item x="724"/>
        <item x="101"/>
        <item x="969"/>
        <item x="143"/>
        <item x="346"/>
        <item x="814"/>
        <item x="697"/>
        <item x="730"/>
        <item x="696"/>
        <item x="67"/>
        <item x="348"/>
        <item x="838"/>
        <item x="382"/>
        <item x="755"/>
        <item x="39"/>
        <item x="641"/>
        <item x="740"/>
        <item x="283"/>
        <item x="972"/>
        <item x="781"/>
        <item x="564"/>
        <item x="260"/>
        <item x="460"/>
        <item x="974"/>
        <item x="810"/>
        <item x="310"/>
        <item x="179"/>
        <item x="964"/>
        <item x="520"/>
        <item x="379"/>
        <item x="118"/>
        <item x="978"/>
        <item x="893"/>
        <item x="497"/>
        <item x="74"/>
        <item x="962"/>
        <item x="649"/>
        <item x="201"/>
        <item x="594"/>
        <item x="388"/>
        <item x="0"/>
        <item x="899"/>
        <item x="782"/>
        <item x="548"/>
        <item x="917"/>
        <item x="5"/>
        <item x="823"/>
        <item x="51"/>
        <item x="433"/>
        <item x="331"/>
        <item x="123"/>
        <item x="727"/>
        <item x="535"/>
        <item x="8"/>
        <item x="247"/>
        <item x="576"/>
        <item x="973"/>
        <item x="222"/>
        <item x="629"/>
        <item x="289"/>
        <item x="816"/>
        <item x="46"/>
        <item x="530"/>
        <item x="848"/>
        <item x="471"/>
        <item x="24"/>
        <item x="908"/>
        <item x="506"/>
        <item x="72"/>
        <item x="832"/>
        <item x="709"/>
        <item x="196"/>
        <item x="711"/>
        <item x="298"/>
        <item x="428"/>
        <item x="259"/>
        <item x="624"/>
        <item x="387"/>
        <item x="801"/>
        <item x="140"/>
        <item x="354"/>
        <item x="780"/>
        <item x="116"/>
        <item x="451"/>
        <item x="568"/>
        <item x="401"/>
        <item x="694"/>
        <item x="84"/>
        <item x="237"/>
        <item x="208"/>
        <item x="514"/>
        <item x="534"/>
        <item x="897"/>
        <item x="136"/>
        <item x="785"/>
        <item x="245"/>
        <item x="986"/>
        <item x="562"/>
        <item x="839"/>
        <item x="791"/>
        <item x="249"/>
        <item x="967"/>
        <item x="707"/>
        <item x="638"/>
        <item x="662"/>
        <item x="21"/>
        <item x="395"/>
        <item x="60"/>
        <item x="156"/>
        <item x="120"/>
        <item x="815"/>
        <item x="796"/>
        <item x="907"/>
        <item x="6"/>
        <item x="521"/>
        <item x="685"/>
        <item x="486"/>
        <item x="230"/>
        <item x="522"/>
        <item x="946"/>
        <item x="512"/>
        <item x="264"/>
        <item x="572"/>
        <item x="318"/>
        <item x="842"/>
        <item x="470"/>
        <item x="901"/>
        <item x="288"/>
        <item x="104"/>
        <item x="948"/>
        <item x="650"/>
        <item x="921"/>
        <item x="385"/>
        <item x="492"/>
        <item x="410"/>
        <item x="345"/>
        <item x="981"/>
        <item x="499"/>
        <item x="914"/>
        <item x="748"/>
        <item x="915"/>
        <item x="180"/>
        <item x="713"/>
        <item x="577"/>
        <item x="171"/>
        <item x="879"/>
        <item x="822"/>
        <item x="639"/>
        <item x="463"/>
        <item x="957"/>
        <item x="732"/>
        <item x="787"/>
        <item x="875"/>
        <item x="623"/>
        <item x="223"/>
        <item x="498"/>
        <item x="597"/>
        <item x="441"/>
        <item x="622"/>
        <item x="701"/>
        <item x="910"/>
        <item x="98"/>
        <item x="741"/>
        <item x="271"/>
        <item x="115"/>
        <item x="96"/>
        <item x="754"/>
        <item x="455"/>
        <item x="50"/>
        <item x="779"/>
        <item x="802"/>
        <item x="683"/>
        <item x="83"/>
        <item x="717"/>
        <item x="588"/>
        <item x="721"/>
        <item x="432"/>
        <item x="456"/>
        <item x="76"/>
        <item x="157"/>
        <item x="384"/>
        <item x="888"/>
        <item x="977"/>
        <item x="502"/>
        <item x="920"/>
        <item x="756"/>
        <item x="276"/>
        <item x="32"/>
        <item x="669"/>
        <item x="193"/>
        <item x="424"/>
        <item x="792"/>
        <item x="181"/>
        <item x="902"/>
        <item x="958"/>
        <item x="344"/>
        <item x="174"/>
        <item x="625"/>
        <item x="799"/>
        <item x="911"/>
        <item x="800"/>
        <item x="655"/>
        <item x="664"/>
        <item x="238"/>
        <item x="442"/>
        <item x="65"/>
        <item x="342"/>
        <item x="592"/>
        <item x="874"/>
        <item x="746"/>
        <item x="358"/>
        <item x="687"/>
        <item x="788"/>
        <item x="254"/>
        <item x="857"/>
        <item x="25"/>
        <item x="85"/>
        <item x="840"/>
        <item x="374"/>
        <item x="18"/>
        <item x="431"/>
        <item x="935"/>
        <item x="929"/>
        <item x="708"/>
        <item x="606"/>
        <item x="488"/>
        <item x="850"/>
        <item x="305"/>
        <item x="580"/>
        <item x="172"/>
        <item x="821"/>
        <item x="416"/>
        <item x="265"/>
        <item x="496"/>
        <item x="692"/>
        <item x="426"/>
        <item x="851"/>
        <item x="847"/>
        <item x="570"/>
        <item x="308"/>
        <item x="881"/>
        <item x="465"/>
        <item x="518"/>
        <item x="906"/>
        <item x="49"/>
        <item x="777"/>
        <item x="475"/>
        <item x="366"/>
        <item x="369"/>
        <item x="934"/>
        <item x="44"/>
        <item x="190"/>
        <item x="90"/>
        <item x="797"/>
        <item x="119"/>
        <item x="19"/>
        <item x="402"/>
        <item x="547"/>
        <item x="526"/>
        <item x="349"/>
        <item x="759"/>
        <item x="640"/>
        <item x="461"/>
        <item x="253"/>
        <item x="42"/>
        <item x="937"/>
        <item x="415"/>
        <item x="480"/>
        <item x="762"/>
        <item x="828"/>
        <item x="36"/>
        <item x="656"/>
        <item x="670"/>
        <item x="618"/>
        <item x="943"/>
        <item x="611"/>
        <item x="199"/>
        <item x="760"/>
        <item x="16"/>
        <item x="643"/>
        <item x="182"/>
        <item x="357"/>
        <item x="829"/>
        <item x="812"/>
        <item x="81"/>
        <item x="10"/>
        <item x="165"/>
        <item x="449"/>
        <item x="690"/>
        <item x="137"/>
        <item x="151"/>
        <item x="148"/>
        <item x="244"/>
        <item x="261"/>
        <item x="321"/>
        <item x="563"/>
        <item x="325"/>
        <item x="636"/>
        <item x="314"/>
        <item x="482"/>
        <item x="207"/>
        <item x="944"/>
        <item x="236"/>
        <item x="644"/>
        <item x="988"/>
        <item x="770"/>
        <item x="912"/>
        <item x="307"/>
        <item x="390"/>
        <item x="129"/>
        <item x="472"/>
        <item x="33"/>
        <item x="43"/>
        <item x="714"/>
        <item x="353"/>
        <item x="3"/>
        <item x="334"/>
        <item x="332"/>
        <item x="586"/>
        <item x="444"/>
        <item x="789"/>
        <item x="846"/>
        <item x="585"/>
        <item x="931"/>
        <item x="134"/>
        <item x="672"/>
        <item x="620"/>
        <item x="186"/>
        <item x="904"/>
        <item x="678"/>
        <item x="878"/>
        <item x="541"/>
        <item x="194"/>
        <item x="589"/>
        <item x="936"/>
        <item x="890"/>
        <item x="378"/>
        <item x="738"/>
        <item x="343"/>
        <item x="263"/>
        <item x="477"/>
        <item x="468"/>
        <item x="648"/>
        <item x="490"/>
        <item x="961"/>
        <item x="609"/>
        <item x="783"/>
        <item x="766"/>
        <item x="114"/>
        <item x="859"/>
        <item x="234"/>
        <item x="956"/>
        <item x="436"/>
        <item x="147"/>
        <item x="97"/>
        <item x="45"/>
        <item x="70"/>
        <item x="898"/>
        <item x="675"/>
        <item x="930"/>
        <item x="183"/>
        <item x="918"/>
        <item x="658"/>
        <item x="376"/>
        <item x="869"/>
        <item x="501"/>
        <item x="386"/>
        <item x="905"/>
        <item x="834"/>
        <item x="523"/>
        <item x="537"/>
        <item x="941"/>
        <item x="162"/>
        <item x="102"/>
        <item x="728"/>
        <item x="804"/>
        <item x="187"/>
        <item x="185"/>
        <item x="794"/>
        <item x="228"/>
        <item x="152"/>
        <item x="117"/>
        <item x="866"/>
        <item x="950"/>
        <item x="966"/>
        <item x="100"/>
        <item x="491"/>
        <item x="273"/>
        <item x="938"/>
        <item x="38"/>
        <item x="141"/>
        <item x="391"/>
        <item x="634"/>
        <item x="124"/>
        <item x="817"/>
        <item x="23"/>
        <item x="58"/>
        <item x="726"/>
        <item x="161"/>
        <item x="833"/>
        <item x="248"/>
        <item x="103"/>
        <item x="277"/>
        <item x="233"/>
        <item x="965"/>
        <item x="360"/>
        <item x="406"/>
        <item x="55"/>
        <item x="635"/>
        <item x="397"/>
        <item x="336"/>
        <item x="939"/>
        <item x="128"/>
        <item x="446"/>
        <item x="691"/>
        <item x="71"/>
        <item x="168"/>
        <item x="891"/>
        <item x="952"/>
        <item x="947"/>
        <item x="257"/>
        <item x="122"/>
        <item x="365"/>
        <item x="235"/>
        <item x="153"/>
        <item x="659"/>
        <item x="980"/>
        <item x="758"/>
        <item x="983"/>
        <item x="447"/>
        <item x="87"/>
        <item x="546"/>
        <item x="430"/>
        <item x="169"/>
        <item x="132"/>
        <item x="843"/>
        <item x="511"/>
        <item x="987"/>
        <item x="865"/>
        <item x="306"/>
        <item x="434"/>
        <item x="359"/>
        <item x="112"/>
        <item x="628"/>
        <item x="867"/>
        <item x="130"/>
        <item x="923"/>
        <item x="916"/>
        <item x="971"/>
        <item x="335"/>
        <item x="459"/>
        <item x="858"/>
        <item x="806"/>
        <item x="581"/>
        <item x="853"/>
        <item x="913"/>
        <item x="355"/>
        <item x="784"/>
        <item x="427"/>
        <item x="425"/>
        <item x="571"/>
        <item x="887"/>
        <item x="377"/>
        <item x="493"/>
        <item x="553"/>
        <item x="367"/>
        <item x="642"/>
        <item x="105"/>
        <item x="108"/>
        <item x="735"/>
        <item x="602"/>
        <item x="240"/>
        <item x="268"/>
        <item x="220"/>
        <item x="213"/>
        <item x="744"/>
        <item x="188"/>
        <item x="731"/>
        <item x="242"/>
        <item x="287"/>
        <item x="703"/>
        <item x="982"/>
        <item x="764"/>
        <item x="584"/>
        <item x="856"/>
        <item x="111"/>
        <item x="667"/>
        <item x="831"/>
        <item x="243"/>
        <item x="266"/>
        <item x="158"/>
        <item x="892"/>
        <item x="212"/>
        <item x="925"/>
        <item x="1"/>
        <item x="435"/>
        <item x="347"/>
        <item x="324"/>
        <item x="742"/>
        <item x="593"/>
        <item x="932"/>
        <item x="28"/>
        <item x="774"/>
        <item x="2"/>
        <item x="82"/>
        <item x="805"/>
        <item x="654"/>
        <item x="170"/>
        <item x="894"/>
        <item x="368"/>
        <item x="776"/>
        <item x="30"/>
        <item x="473"/>
        <item x="803"/>
        <item x="716"/>
        <item x="702"/>
        <item x="352"/>
        <item x="77"/>
        <item x="660"/>
        <item x="398"/>
        <item x="361"/>
        <item x="246"/>
        <item x="448"/>
        <item x="256"/>
        <item x="807"/>
        <item x="924"/>
        <item x="765"/>
        <item x="710"/>
        <item x="200"/>
        <item x="686"/>
        <item x="531"/>
        <item x="567"/>
        <item x="301"/>
        <item x="757"/>
        <item x="927"/>
        <item x="889"/>
        <item x="712"/>
        <item x="768"/>
        <item x="155"/>
        <item x="26"/>
        <item x="412"/>
        <item x="12"/>
        <item x="175"/>
        <item x="107"/>
        <item x="217"/>
        <item x="769"/>
        <item x="565"/>
        <item x="706"/>
        <item x="560"/>
        <item x="340"/>
        <item x="73"/>
        <item x="811"/>
        <item x="862"/>
        <item x="745"/>
        <item x="608"/>
        <item x="373"/>
        <item x="569"/>
        <item x="394"/>
        <item x="419"/>
        <item x="826"/>
        <item x="422"/>
        <item x="258"/>
        <item x="825"/>
        <item x="968"/>
        <item x="138"/>
        <item x="267"/>
        <item x="17"/>
        <item x="241"/>
        <item x="763"/>
        <item x="327"/>
        <item x="275"/>
        <item x="549"/>
        <item x="22"/>
        <item x="626"/>
        <item x="542"/>
        <item x="284"/>
        <item x="210"/>
        <item x="752"/>
        <item x="478"/>
        <item x="450"/>
        <item x="720"/>
        <item x="753"/>
        <item x="698"/>
        <item x="554"/>
        <item x="31"/>
        <item x="364"/>
        <item x="652"/>
        <item x="113"/>
        <item x="900"/>
        <item x="4"/>
        <item x="885"/>
        <item x="292"/>
        <item x="599"/>
        <item x="771"/>
        <item x="363"/>
        <item x="719"/>
        <item x="109"/>
        <item x="279"/>
        <item x="632"/>
        <item x="127"/>
        <item x="668"/>
        <item x="20"/>
        <item x="66"/>
        <item x="876"/>
        <item x="505"/>
        <item x="53"/>
        <item x="211"/>
        <item x="291"/>
        <item x="573"/>
        <item x="164"/>
        <item x="790"/>
        <item x="613"/>
        <item x="989"/>
        <item x="575"/>
        <item x="517"/>
        <item x="177"/>
        <item x="663"/>
        <item x="219"/>
        <item x="142"/>
        <item x="578"/>
        <item x="457"/>
        <item x="214"/>
        <item x="405"/>
        <item x="557"/>
        <item x="959"/>
        <item x="630"/>
        <item x="429"/>
        <item x="583"/>
        <item x="88"/>
        <item x="830"/>
        <item x="527"/>
        <item x="302"/>
        <item x="251"/>
        <item x="166"/>
        <item x="239"/>
        <item x="837"/>
        <item x="52"/>
        <item x="338"/>
        <item x="443"/>
        <item x="206"/>
        <item x="144"/>
        <item x="95"/>
        <item x="409"/>
        <item x="80"/>
        <item x="293"/>
        <item x="940"/>
        <item x="121"/>
        <item x="224"/>
        <item x="383"/>
        <item x="949"/>
        <item x="250"/>
        <item x="135"/>
        <item x="590"/>
        <item x="884"/>
        <item x="733"/>
        <item x="229"/>
        <item x="191"/>
        <item x="89"/>
        <item x="852"/>
        <item x="647"/>
        <item x="953"/>
        <item x="452"/>
        <item x="91"/>
        <item x="689"/>
        <item x="722"/>
        <item x="919"/>
        <item x="778"/>
        <item x="285"/>
        <item x="487"/>
        <item x="99"/>
        <item x="617"/>
        <item x="423"/>
        <item x="976"/>
        <item x="372"/>
        <item x="14"/>
        <item x="679"/>
        <item x="736"/>
        <item x="411"/>
        <item x="290"/>
        <item x="604"/>
        <item x="610"/>
        <item x="63"/>
        <item x="35"/>
        <item x="320"/>
        <item x="173"/>
        <item x="225"/>
        <item x="621"/>
        <item x="350"/>
        <item x="319"/>
        <item x="375"/>
        <item x="15"/>
        <item x="330"/>
        <item x="92"/>
        <item x="296"/>
        <item x="844"/>
        <item x="47"/>
        <item x="725"/>
        <item x="503"/>
        <item x="205"/>
        <item x="400"/>
        <item x="61"/>
        <item x="299"/>
        <item x="515"/>
        <item x="835"/>
        <item x="681"/>
        <item x="582"/>
        <item x="389"/>
        <item x="227"/>
        <item x="631"/>
        <item x="392"/>
        <item x="739"/>
        <item x="528"/>
        <item x="873"/>
        <item x="303"/>
        <item x="926"/>
        <item x="93"/>
        <item x="495"/>
        <item x="841"/>
        <item x="516"/>
        <item x="209"/>
        <item x="513"/>
        <item x="494"/>
        <item x="699"/>
        <item x="775"/>
        <item x="328"/>
        <item x="280"/>
        <item x="7"/>
        <item x="300"/>
        <item x="751"/>
        <item x="295"/>
        <item x="453"/>
        <item x="316"/>
        <item x="485"/>
        <item x="146"/>
        <item x="262"/>
        <item x="761"/>
        <item x="484"/>
        <item x="637"/>
        <item x="532"/>
        <item x="458"/>
        <item x="437"/>
        <item x="587"/>
        <item x="333"/>
        <item x="715"/>
        <item x="665"/>
        <item x="772"/>
        <item x="404"/>
        <item x="362"/>
        <item x="313"/>
        <item x="417"/>
        <item x="737"/>
        <item x="596"/>
        <item x="507"/>
        <item x="500"/>
        <item x="481"/>
        <item x="529"/>
        <item x="747"/>
        <item x="540"/>
        <item x="413"/>
        <item x="633"/>
        <item x="600"/>
        <item x="871"/>
        <item x="954"/>
        <item x="86"/>
        <item x="311"/>
        <item x="552"/>
        <item x="909"/>
        <item x="370"/>
        <item x="281"/>
        <item x="29"/>
        <item x="286"/>
        <item x="341"/>
        <item x="54"/>
        <item x="855"/>
        <item x="304"/>
        <item x="684"/>
        <item x="282"/>
        <item x="544"/>
        <item x="558"/>
        <item x="59"/>
        <item x="824"/>
        <item x="78"/>
        <item x="616"/>
        <item x="381"/>
        <item x="476"/>
        <item x="524"/>
        <item x="614"/>
        <item x="86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Sales" fld="8" baseField="0" baseItem="0"/>
    <dataField name="Sum of Profit" fld="10" baseField="0" baseItem="0"/>
    <dataField name="Count of Order ID" fld="1" subtotal="count" baseField="0" baseItem="0"/>
    <dataField name="Sum of Discount (%)" fld="9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useAutoFormatting="1" createdVersion="5" indent="0" outline="1" outlineData="1" multipleFieldFilters="0">
  <location ref="A3:D9" firstHeaderRow="1" firstDataRow="2" firstDataCol="1"/>
  <pivotFields count="13">
    <pivotField showAll="0">
      <items count="346">
        <item x="105"/>
        <item x="338"/>
        <item x="18"/>
        <item x="76"/>
        <item x="330"/>
        <item x="74"/>
        <item x="178"/>
        <item x="126"/>
        <item x="58"/>
        <item x="4"/>
        <item x="65"/>
        <item x="341"/>
        <item x="302"/>
        <item x="34"/>
        <item x="343"/>
        <item x="185"/>
        <item x="223"/>
        <item x="193"/>
        <item x="204"/>
        <item x="257"/>
        <item x="219"/>
        <item x="3"/>
        <item x="148"/>
        <item x="87"/>
        <item x="320"/>
        <item x="268"/>
        <item x="234"/>
        <item x="269"/>
        <item x="129"/>
        <item x="82"/>
        <item x="188"/>
        <item x="315"/>
        <item x="267"/>
        <item x="303"/>
        <item x="13"/>
        <item x="248"/>
        <item x="66"/>
        <item x="339"/>
        <item x="260"/>
        <item x="64"/>
        <item x="336"/>
        <item x="145"/>
        <item x="277"/>
        <item x="259"/>
        <item x="293"/>
        <item x="155"/>
        <item x="309"/>
        <item x="107"/>
        <item x="300"/>
        <item x="203"/>
        <item x="217"/>
        <item x="140"/>
        <item x="40"/>
        <item x="229"/>
        <item x="75"/>
        <item x="122"/>
        <item x="136"/>
        <item x="88"/>
        <item x="10"/>
        <item x="221"/>
        <item x="61"/>
        <item x="2"/>
        <item x="89"/>
        <item x="95"/>
        <item x="109"/>
        <item x="276"/>
        <item x="270"/>
        <item x="295"/>
        <item x="25"/>
        <item x="243"/>
        <item x="85"/>
        <item x="319"/>
        <item x="340"/>
        <item x="104"/>
        <item x="247"/>
        <item x="106"/>
        <item x="79"/>
        <item x="205"/>
        <item x="44"/>
        <item x="131"/>
        <item x="67"/>
        <item x="141"/>
        <item x="90"/>
        <item x="152"/>
        <item x="179"/>
        <item x="266"/>
        <item x="180"/>
        <item x="146"/>
        <item x="218"/>
        <item x="227"/>
        <item x="177"/>
        <item x="1"/>
        <item x="118"/>
        <item x="160"/>
        <item x="133"/>
        <item x="47"/>
        <item x="69"/>
        <item x="35"/>
        <item x="162"/>
        <item x="53"/>
        <item x="144"/>
        <item x="195"/>
        <item x="115"/>
        <item x="235"/>
        <item x="190"/>
        <item x="189"/>
        <item x="121"/>
        <item x="5"/>
        <item x="289"/>
        <item x="167"/>
        <item x="28"/>
        <item x="209"/>
        <item x="181"/>
        <item x="124"/>
        <item x="329"/>
        <item x="249"/>
        <item x="17"/>
        <item x="83"/>
        <item x="15"/>
        <item x="286"/>
        <item x="186"/>
        <item x="246"/>
        <item x="200"/>
        <item x="24"/>
        <item x="326"/>
        <item x="253"/>
        <item x="93"/>
        <item x="55"/>
        <item x="114"/>
        <item x="112"/>
        <item x="280"/>
        <item x="241"/>
        <item x="308"/>
        <item x="134"/>
        <item x="108"/>
        <item x="211"/>
        <item x="135"/>
        <item x="333"/>
        <item x="175"/>
        <item x="331"/>
        <item x="168"/>
        <item x="37"/>
        <item x="201"/>
        <item x="127"/>
        <item x="29"/>
        <item x="291"/>
        <item x="33"/>
        <item x="27"/>
        <item x="94"/>
        <item x="60"/>
        <item x="306"/>
        <item x="30"/>
        <item x="287"/>
        <item x="213"/>
        <item x="103"/>
        <item x="198"/>
        <item x="153"/>
        <item x="322"/>
        <item x="196"/>
        <item x="210"/>
        <item x="342"/>
        <item x="239"/>
        <item x="137"/>
        <item x="59"/>
        <item x="176"/>
        <item x="54"/>
        <item x="194"/>
        <item x="9"/>
        <item x="251"/>
        <item x="143"/>
        <item x="128"/>
        <item x="318"/>
        <item x="22"/>
        <item x="68"/>
        <item x="78"/>
        <item x="150"/>
        <item x="301"/>
        <item x="130"/>
        <item x="307"/>
        <item x="207"/>
        <item x="165"/>
        <item x="335"/>
        <item x="20"/>
        <item x="147"/>
        <item x="123"/>
        <item x="278"/>
        <item x="172"/>
        <item x="310"/>
        <item x="323"/>
        <item x="245"/>
        <item x="283"/>
        <item x="298"/>
        <item x="237"/>
        <item x="57"/>
        <item x="202"/>
        <item x="312"/>
        <item x="261"/>
        <item x="183"/>
        <item x="274"/>
        <item x="174"/>
        <item x="14"/>
        <item x="233"/>
        <item x="254"/>
        <item x="199"/>
        <item x="224"/>
        <item x="139"/>
        <item x="72"/>
        <item x="232"/>
        <item x="252"/>
        <item x="282"/>
        <item x="6"/>
        <item x="244"/>
        <item x="258"/>
        <item x="314"/>
        <item x="31"/>
        <item x="187"/>
        <item x="272"/>
        <item x="111"/>
        <item x="220"/>
        <item x="225"/>
        <item x="16"/>
        <item x="265"/>
        <item x="48"/>
        <item x="216"/>
        <item x="305"/>
        <item x="42"/>
        <item x="197"/>
        <item x="344"/>
        <item x="275"/>
        <item x="288"/>
        <item x="285"/>
        <item x="324"/>
        <item x="191"/>
        <item x="26"/>
        <item x="119"/>
        <item x="290"/>
        <item x="62"/>
        <item x="98"/>
        <item x="101"/>
        <item x="81"/>
        <item x="19"/>
        <item x="71"/>
        <item x="256"/>
        <item x="215"/>
        <item x="231"/>
        <item x="161"/>
        <item x="120"/>
        <item x="296"/>
        <item x="97"/>
        <item x="46"/>
        <item x="23"/>
        <item x="41"/>
        <item x="264"/>
        <item x="157"/>
        <item x="159"/>
        <item x="102"/>
        <item x="96"/>
        <item x="294"/>
        <item x="325"/>
        <item x="86"/>
        <item x="151"/>
        <item x="110"/>
        <item x="154"/>
        <item x="52"/>
        <item x="38"/>
        <item x="56"/>
        <item x="91"/>
        <item x="337"/>
        <item x="208"/>
        <item x="77"/>
        <item x="39"/>
        <item x="158"/>
        <item x="45"/>
        <item x="240"/>
        <item x="142"/>
        <item x="0"/>
        <item x="49"/>
        <item x="304"/>
        <item x="279"/>
        <item x="43"/>
        <item x="50"/>
        <item x="299"/>
        <item x="36"/>
        <item x="184"/>
        <item x="182"/>
        <item x="230"/>
        <item x="332"/>
        <item x="226"/>
        <item x="214"/>
        <item x="116"/>
        <item x="138"/>
        <item x="117"/>
        <item x="262"/>
        <item x="273"/>
        <item x="292"/>
        <item x="192"/>
        <item x="164"/>
        <item x="321"/>
        <item x="334"/>
        <item x="236"/>
        <item x="113"/>
        <item x="132"/>
        <item x="317"/>
        <item x="311"/>
        <item x="263"/>
        <item x="70"/>
        <item x="242"/>
        <item x="100"/>
        <item x="32"/>
        <item x="173"/>
        <item x="297"/>
        <item x="281"/>
        <item x="206"/>
        <item x="149"/>
        <item x="284"/>
        <item x="51"/>
        <item x="84"/>
        <item x="171"/>
        <item x="125"/>
        <item x="99"/>
        <item x="92"/>
        <item x="170"/>
        <item x="7"/>
        <item x="169"/>
        <item x="250"/>
        <item x="80"/>
        <item x="8"/>
        <item x="327"/>
        <item x="238"/>
        <item x="313"/>
        <item x="228"/>
        <item x="163"/>
        <item x="316"/>
        <item x="212"/>
        <item x="156"/>
        <item x="11"/>
        <item x="271"/>
        <item x="63"/>
        <item x="328"/>
        <item x="21"/>
        <item x="73"/>
        <item x="222"/>
        <item x="166"/>
        <item x="255"/>
        <item x="12"/>
        <item t="default"/>
      </items>
    </pivotField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showAll="0">
      <items count="5">
        <item sd="0" x="2"/>
        <item x="0"/>
        <item sd="0" x="3"/>
        <item sd="0" x="1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21">
        <item x="0"/>
        <item x="9"/>
        <item x="10"/>
        <item x="12"/>
        <item x="7"/>
        <item x="2"/>
        <item x="6"/>
        <item x="5"/>
        <item x="3"/>
        <item x="14"/>
        <item x="8"/>
        <item x="4"/>
        <item x="13"/>
        <item x="19"/>
        <item x="11"/>
        <item x="16"/>
        <item x="15"/>
        <item x="18"/>
        <item x="17"/>
        <item x="1"/>
        <item t="default"/>
      </items>
    </pivotField>
    <pivotField showAll="0">
      <items count="988">
        <item x="332"/>
        <item x="245"/>
        <item x="643"/>
        <item x="357"/>
        <item x="618"/>
        <item x="10"/>
        <item x="432"/>
        <item x="738"/>
        <item x="187"/>
        <item x="886"/>
        <item x="658"/>
        <item x="208"/>
        <item x="43"/>
        <item x="977"/>
        <item x="767"/>
        <item x="397"/>
        <item x="55"/>
        <item x="249"/>
        <item x="358"/>
        <item x="168"/>
        <item x="129"/>
        <item x="690"/>
        <item x="664"/>
        <item x="936"/>
        <item x="585"/>
        <item x="430"/>
        <item x="391"/>
        <item x="349"/>
        <item x="455"/>
        <item x="147"/>
        <item x="84"/>
        <item x="896"/>
        <item x="511"/>
        <item x="908"/>
        <item x="588"/>
        <item x="416"/>
        <item x="938"/>
        <item x="915"/>
        <item x="36"/>
        <item x="374"/>
        <item x="932"/>
        <item x="19"/>
        <item x="502"/>
        <item x="857"/>
        <item x="436"/>
        <item x="716"/>
        <item x="902"/>
        <item x="834"/>
        <item x="918"/>
        <item x="132"/>
        <item x="287"/>
        <item x="714"/>
        <item x="165"/>
        <item x="58"/>
        <item x="153"/>
        <item x="188"/>
        <item x="967"/>
        <item x="913"/>
        <item x="572"/>
        <item x="735"/>
        <item x="267"/>
        <item x="90"/>
        <item x="264"/>
        <item x="306"/>
        <item x="260"/>
        <item x="137"/>
        <item x="390"/>
        <item x="224"/>
        <item x="157"/>
        <item x="235"/>
        <item x="659"/>
        <item x="124"/>
        <item x="336"/>
        <item x="542"/>
        <item x="108"/>
        <item x="856"/>
        <item x="789"/>
        <item x="334"/>
        <item x="638"/>
        <item x="76"/>
        <item x="182"/>
        <item x="359"/>
        <item x="541"/>
        <item x="209"/>
        <item x="1"/>
        <item x="183"/>
        <item x="501"/>
        <item x="499"/>
        <item x="186"/>
        <item x="818"/>
        <item x="191"/>
        <item x="262"/>
        <item x="77"/>
        <item x="483"/>
        <item x="352"/>
        <item x="42"/>
        <item x="247"/>
        <item x="526"/>
        <item x="49"/>
        <item x="213"/>
        <item x="927"/>
        <item x="81"/>
        <item x="823"/>
        <item x="606"/>
        <item x="858"/>
        <item x="5"/>
        <item x="726"/>
        <item x="497"/>
        <item x="816"/>
        <item x="53"/>
        <item x="283"/>
        <item x="667"/>
        <item x="769"/>
        <item x="592"/>
        <item x="141"/>
        <item x="314"/>
        <item x="114"/>
        <item x="109"/>
        <item x="176"/>
        <item x="307"/>
        <item x="464"/>
        <item x="419"/>
        <item x="577"/>
        <item x="71"/>
        <item x="899"/>
        <item x="292"/>
        <item x="771"/>
        <item x="931"/>
        <item x="3"/>
        <item x="757"/>
        <item x="749"/>
        <item x="22"/>
        <item x="184"/>
        <item x="21"/>
        <item x="725"/>
        <item x="824"/>
        <item x="877"/>
        <item x="623"/>
        <item x="648"/>
        <item x="947"/>
        <item x="441"/>
        <item x="386"/>
        <item x="677"/>
        <item x="732"/>
        <item x="45"/>
        <item x="979"/>
        <item x="60"/>
        <item x="683"/>
        <item x="4"/>
        <item x="143"/>
        <item x="792"/>
        <item x="122"/>
        <item x="472"/>
        <item x="128"/>
        <item x="801"/>
        <item x="229"/>
        <item x="609"/>
        <item x="933"/>
        <item x="863"/>
        <item x="180"/>
        <item x="2"/>
        <item x="204"/>
        <item x="847"/>
        <item x="331"/>
        <item x="670"/>
        <item x="570"/>
        <item x="451"/>
        <item x="620"/>
        <item x="661"/>
        <item x="69"/>
        <item x="713"/>
        <item x="964"/>
        <item x="697"/>
        <item x="731"/>
        <item x="807"/>
        <item x="244"/>
        <item x="339"/>
        <item x="783"/>
        <item x="447"/>
        <item x="111"/>
        <item x="859"/>
        <item x="586"/>
        <item x="39"/>
        <item x="431"/>
        <item x="263"/>
        <item x="891"/>
        <item x="974"/>
        <item x="218"/>
        <item x="978"/>
        <item x="327"/>
        <item x="986"/>
        <item x="660"/>
        <item x="900"/>
        <item x="678"/>
        <item x="954"/>
        <item x="246"/>
        <item x="599"/>
        <item x="608"/>
        <item x="822"/>
        <item x="456"/>
        <item x="234"/>
        <item x="422"/>
        <item x="698"/>
        <item x="559"/>
        <item x="508"/>
        <item x="652"/>
        <item x="251"/>
        <item x="934"/>
        <item x="729"/>
        <item x="803"/>
        <item x="265"/>
        <item x="912"/>
        <item x="958"/>
        <item x="254"/>
        <item x="33"/>
        <item x="557"/>
        <item x="602"/>
        <item x="286"/>
        <item x="921"/>
        <item x="672"/>
        <item x="920"/>
        <item x="898"/>
        <item x="613"/>
        <item x="815"/>
        <item x="940"/>
        <item x="403"/>
        <item x="250"/>
        <item x="105"/>
        <item x="551"/>
        <item x="368"/>
        <item x="202"/>
        <item x="325"/>
        <item x="703"/>
        <item x="435"/>
        <item x="554"/>
        <item x="761"/>
        <item x="194"/>
        <item x="741"/>
        <item x="170"/>
        <item x="611"/>
        <item x="6"/>
        <item x="849"/>
        <item x="446"/>
        <item x="70"/>
        <item x="710"/>
        <item x="800"/>
        <item x="830"/>
        <item x="583"/>
        <item x="38"/>
        <item x="512"/>
        <item x="100"/>
        <item x="173"/>
        <item x="634"/>
        <item x="622"/>
        <item x="968"/>
        <item x="985"/>
        <item x="983"/>
        <item x="922"/>
        <item x="812"/>
        <item x="288"/>
        <item x="625"/>
        <item x="549"/>
        <item x="82"/>
        <item x="939"/>
        <item x="748"/>
        <item x="96"/>
        <item x="598"/>
        <item x="479"/>
        <item x="28"/>
        <item x="151"/>
        <item x="584"/>
        <item x="347"/>
        <item x="865"/>
        <item x="537"/>
        <item x="134"/>
        <item x="238"/>
        <item x="928"/>
        <item x="903"/>
        <item x="102"/>
        <item x="730"/>
        <item x="520"/>
        <item x="466"/>
        <item x="269"/>
        <item x="415"/>
        <item x="23"/>
        <item x="220"/>
        <item x="885"/>
        <item x="879"/>
        <item x="148"/>
        <item x="860"/>
        <item x="345"/>
        <item x="711"/>
        <item x="675"/>
        <item x="835"/>
        <item x="890"/>
        <item x="200"/>
        <item x="635"/>
        <item x="882"/>
        <item x="523"/>
        <item x="232"/>
        <item x="223"/>
        <item x="315"/>
        <item x="795"/>
        <item x="984"/>
        <item x="935"/>
        <item x="717"/>
        <item x="385"/>
        <item x="569"/>
        <item x="530"/>
        <item x="461"/>
        <item x="953"/>
        <item x="905"/>
        <item x="699"/>
        <item x="740"/>
        <item x="580"/>
        <item x="156"/>
        <item x="797"/>
        <item x="679"/>
        <item x="862"/>
        <item x="751"/>
        <item x="762"/>
        <item x="482"/>
        <item x="409"/>
        <item x="547"/>
        <item x="724"/>
        <item x="384"/>
        <item x="923"/>
        <item x="720"/>
        <item x="617"/>
        <item x="152"/>
        <item x="424"/>
        <item x="808"/>
        <item x="791"/>
        <item x="777"/>
        <item x="389"/>
        <item x="562"/>
        <item x="528"/>
        <item x="651"/>
        <item x="103"/>
        <item x="952"/>
        <item x="126"/>
        <item x="794"/>
        <item x="284"/>
        <item x="401"/>
        <item x="138"/>
        <item x="641"/>
        <item x="682"/>
        <item x="255"/>
        <item x="796"/>
        <item x="811"/>
        <item x="26"/>
        <item x="361"/>
        <item x="145"/>
        <item x="24"/>
        <item x="274"/>
        <item x="445"/>
        <item x="702"/>
        <item x="350"/>
        <item x="353"/>
        <item x="707"/>
        <item x="146"/>
        <item x="428"/>
        <item x="970"/>
        <item x="140"/>
        <item x="567"/>
        <item x="330"/>
        <item x="642"/>
        <item x="15"/>
        <item x="273"/>
        <item x="20"/>
        <item x="97"/>
        <item x="644"/>
        <item x="504"/>
        <item x="676"/>
        <item x="480"/>
        <item x="236"/>
        <item x="904"/>
        <item x="701"/>
        <item x="624"/>
        <item x="531"/>
        <item x="534"/>
        <item x="133"/>
        <item x="721"/>
        <item x="321"/>
        <item x="372"/>
        <item x="206"/>
        <item x="610"/>
        <item x="463"/>
        <item x="115"/>
        <item x="68"/>
        <item x="379"/>
        <item x="373"/>
        <item x="326"/>
        <item x="305"/>
        <item x="120"/>
        <item x="160"/>
        <item x="636"/>
        <item x="686"/>
        <item x="700"/>
        <item x="516"/>
        <item x="957"/>
        <item x="910"/>
        <item x="104"/>
        <item x="452"/>
        <item x="571"/>
        <item x="119"/>
        <item x="850"/>
        <item x="673"/>
        <item x="781"/>
        <item x="491"/>
        <item x="848"/>
        <item x="962"/>
        <item x="510"/>
        <item x="821"/>
        <item x="603"/>
        <item x="74"/>
        <item x="640"/>
        <item x="843"/>
        <item x="150"/>
        <item x="237"/>
        <item x="289"/>
        <item x="468"/>
        <item x="83"/>
        <item x="46"/>
        <item x="708"/>
        <item x="92"/>
        <item x="362"/>
        <item x="566"/>
        <item x="509"/>
        <item x="396"/>
        <item x="65"/>
        <item x="344"/>
        <item x="231"/>
        <item x="727"/>
        <item x="356"/>
        <item x="742"/>
        <item x="627"/>
        <item x="876"/>
        <item x="375"/>
        <item x="955"/>
        <item x="253"/>
        <item x="719"/>
        <item x="136"/>
        <item x="706"/>
        <item x="734"/>
        <item x="498"/>
        <item x="579"/>
        <item x="18"/>
        <item x="142"/>
        <item x="844"/>
        <item x="302"/>
        <item x="322"/>
        <item x="318"/>
        <item x="230"/>
        <item x="628"/>
        <item x="758"/>
        <item x="780"/>
        <item x="454"/>
        <item x="696"/>
        <item x="874"/>
        <item x="25"/>
        <item x="535"/>
        <item x="895"/>
        <item x="205"/>
        <item x="578"/>
        <item x="692"/>
        <item x="590"/>
        <item x="410"/>
        <item x="189"/>
        <item x="355"/>
        <item x="515"/>
        <item x="290"/>
        <item x="16"/>
        <item x="650"/>
        <item x="376"/>
        <item x="743"/>
        <item x="867"/>
        <item x="490"/>
        <item x="420"/>
        <item x="878"/>
        <item x="225"/>
        <item x="814"/>
        <item x="949"/>
        <item x="113"/>
        <item x="392"/>
        <item x="688"/>
        <item x="457"/>
        <item x="897"/>
        <item x="280"/>
        <item x="759"/>
        <item x="474"/>
        <item x="11"/>
        <item x="159"/>
        <item x="773"/>
        <item x="746"/>
        <item x="406"/>
        <item x="864"/>
        <item x="402"/>
        <item x="450"/>
        <item x="871"/>
        <item x="829"/>
        <item x="178"/>
        <item x="805"/>
        <item x="924"/>
        <item x="632"/>
        <item x="467"/>
        <item x="656"/>
        <item x="980"/>
        <item x="291"/>
        <item x="556"/>
        <item x="911"/>
        <item x="135"/>
        <item x="272"/>
        <item x="369"/>
        <item x="130"/>
        <item x="239"/>
        <item x="630"/>
        <item x="319"/>
        <item x="340"/>
        <item x="41"/>
        <item x="492"/>
        <item x="8"/>
        <item x="211"/>
        <item x="112"/>
        <item x="278"/>
        <item x="363"/>
        <item x="121"/>
        <item x="294"/>
        <item x="842"/>
        <item x="546"/>
        <item x="637"/>
        <item x="533"/>
        <item x="884"/>
        <item x="177"/>
        <item x="0"/>
        <item x="704"/>
        <item x="201"/>
        <item x="61"/>
        <item x="831"/>
        <item x="753"/>
        <item x="755"/>
        <item x="167"/>
        <item x="894"/>
        <item x="961"/>
        <item x="475"/>
        <item x="107"/>
        <item x="32"/>
        <item x="298"/>
        <item x="261"/>
        <item x="853"/>
        <item x="423"/>
        <item x="493"/>
        <item x="85"/>
        <item x="649"/>
        <item x="421"/>
        <item x="335"/>
        <item x="346"/>
        <item x="34"/>
        <item x="366"/>
        <item x="722"/>
        <item x="486"/>
        <item x="44"/>
        <item x="166"/>
        <item x="169"/>
        <item x="378"/>
        <item x="106"/>
        <item x="257"/>
        <item x="826"/>
        <item x="88"/>
        <item x="277"/>
        <item x="950"/>
        <item x="662"/>
        <item x="123"/>
        <item x="744"/>
        <item x="774"/>
        <item x="851"/>
        <item x="654"/>
        <item x="845"/>
        <item x="364"/>
        <item x="459"/>
        <item x="827"/>
        <item x="75"/>
        <item x="565"/>
        <item x="496"/>
        <item x="872"/>
        <item x="14"/>
        <item x="212"/>
        <item x="35"/>
        <item x="548"/>
        <item x="951"/>
        <item x="309"/>
        <item x="215"/>
        <item x="552"/>
        <item x="328"/>
        <item x="838"/>
        <item x="519"/>
        <item x="63"/>
        <item x="527"/>
        <item x="59"/>
        <item x="581"/>
        <item x="646"/>
        <item x="181"/>
        <item x="324"/>
        <item x="663"/>
        <item x="507"/>
        <item x="612"/>
        <item x="626"/>
        <item x="73"/>
        <item x="275"/>
        <item x="754"/>
        <item x="737"/>
        <item x="505"/>
        <item x="190"/>
        <item x="799"/>
        <item x="31"/>
        <item x="487"/>
        <item x="563"/>
        <item x="149"/>
        <item x="412"/>
        <item x="568"/>
        <item x="57"/>
        <item x="560"/>
        <item x="470"/>
        <item x="242"/>
        <item x="854"/>
        <item x="333"/>
        <item x="575"/>
        <item x="691"/>
        <item x="657"/>
        <item x="532"/>
        <item x="338"/>
        <item x="817"/>
        <item x="784"/>
        <item x="776"/>
        <item x="647"/>
        <item x="465"/>
        <item x="185"/>
        <item x="852"/>
        <item x="802"/>
        <item x="427"/>
        <item x="685"/>
        <item x="887"/>
        <item x="248"/>
        <item x="615"/>
        <item x="300"/>
        <item x="270"/>
        <item x="564"/>
        <item x="469"/>
        <item x="782"/>
        <item x="342"/>
        <item x="162"/>
        <item x="825"/>
        <item x="271"/>
        <item x="668"/>
        <item x="806"/>
        <item x="279"/>
        <item x="621"/>
        <item x="383"/>
        <item x="941"/>
        <item x="460"/>
        <item x="919"/>
        <item x="942"/>
        <item x="917"/>
        <item x="52"/>
        <item x="179"/>
        <item x="553"/>
        <item x="414"/>
        <item x="513"/>
        <item x="425"/>
        <item x="906"/>
        <item x="214"/>
        <item x="163"/>
        <item x="395"/>
        <item x="689"/>
        <item x="360"/>
        <item x="503"/>
        <item x="909"/>
        <item x="550"/>
        <item x="976"/>
        <item x="243"/>
        <item x="99"/>
        <item x="407"/>
        <item x="538"/>
        <item x="597"/>
        <item x="478"/>
        <item x="604"/>
        <item x="116"/>
        <item x="434"/>
        <item x="593"/>
        <item x="963"/>
        <item x="790"/>
        <item x="763"/>
        <item x="836"/>
        <item x="171"/>
        <item x="484"/>
        <item x="443"/>
        <item x="655"/>
        <item x="514"/>
        <item x="174"/>
        <item x="709"/>
        <item x="529"/>
        <item x="607"/>
        <item x="348"/>
        <item x="561"/>
        <item x="252"/>
        <item x="591"/>
        <item x="555"/>
        <item x="471"/>
        <item x="787"/>
        <item x="832"/>
        <item x="40"/>
        <item x="785"/>
        <item x="828"/>
        <item x="489"/>
        <item x="66"/>
        <item x="12"/>
        <item x="258"/>
        <item x="164"/>
        <item x="117"/>
        <item x="56"/>
        <item x="846"/>
        <item x="669"/>
        <item x="943"/>
        <item x="317"/>
        <item x="207"/>
        <item x="681"/>
        <item x="495"/>
        <item x="282"/>
        <item x="596"/>
        <item x="680"/>
        <item x="222"/>
        <item x="718"/>
        <item x="95"/>
        <item x="266"/>
        <item x="91"/>
        <item x="17"/>
        <item x="303"/>
        <item x="756"/>
        <item x="521"/>
        <item x="937"/>
        <item x="500"/>
        <item x="798"/>
        <item x="665"/>
        <item x="72"/>
        <item x="760"/>
        <item x="296"/>
        <item x="788"/>
        <item x="240"/>
        <item x="539"/>
        <item x="694"/>
        <item x="705"/>
        <item x="118"/>
        <item x="687"/>
        <item x="371"/>
        <item x="67"/>
        <item x="227"/>
        <item x="93"/>
        <item x="295"/>
        <item x="400"/>
        <item x="195"/>
        <item x="969"/>
        <item x="343"/>
        <item x="50"/>
        <item x="973"/>
        <item x="399"/>
        <item x="448"/>
        <item x="870"/>
        <item x="196"/>
        <item x="370"/>
        <item x="594"/>
        <item x="926"/>
        <item x="94"/>
        <item x="293"/>
        <item x="9"/>
        <item x="433"/>
        <item x="775"/>
        <item x="786"/>
        <item x="605"/>
        <item x="892"/>
        <item x="221"/>
        <item x="485"/>
        <item x="54"/>
        <item x="666"/>
        <item x="313"/>
        <item x="589"/>
        <item x="259"/>
        <item x="219"/>
        <item x="193"/>
        <item x="449"/>
        <item x="154"/>
        <item x="98"/>
        <item x="966"/>
        <item x="101"/>
        <item x="438"/>
        <item x="868"/>
        <item x="820"/>
        <item x="494"/>
        <item x="518"/>
        <item x="203"/>
        <item x="367"/>
        <item x="127"/>
        <item x="712"/>
        <item x="778"/>
        <item x="971"/>
        <item x="981"/>
        <item x="574"/>
        <item x="439"/>
        <item x="110"/>
        <item x="840"/>
        <item x="869"/>
        <item x="793"/>
        <item x="394"/>
        <item x="779"/>
        <item x="866"/>
        <item x="982"/>
        <item x="256"/>
        <item x="653"/>
        <item x="875"/>
        <item x="750"/>
        <item x="48"/>
        <item x="772"/>
        <item x="916"/>
        <item x="304"/>
        <item x="587"/>
        <item x="329"/>
        <item x="914"/>
        <item x="972"/>
        <item x="883"/>
        <item x="354"/>
        <item x="833"/>
        <item x="37"/>
        <item x="323"/>
        <item x="316"/>
        <item x="29"/>
        <item x="87"/>
        <item x="960"/>
        <item x="733"/>
        <item x="506"/>
        <item x="956"/>
        <item x="517"/>
        <item x="301"/>
        <item x="442"/>
        <item x="855"/>
        <item x="813"/>
        <item x="78"/>
        <item x="417"/>
        <item x="645"/>
        <item x="965"/>
        <item x="888"/>
        <item x="558"/>
        <item x="380"/>
        <item x="674"/>
        <item x="695"/>
        <item x="544"/>
        <item x="946"/>
        <item x="582"/>
        <item x="158"/>
        <item x="351"/>
        <item x="929"/>
        <item x="747"/>
        <item x="945"/>
        <item x="536"/>
        <item x="398"/>
        <item x="388"/>
        <item x="889"/>
        <item x="51"/>
        <item x="387"/>
        <item x="381"/>
        <item x="408"/>
        <item x="89"/>
        <item x="161"/>
        <item x="804"/>
        <item x="125"/>
        <item x="873"/>
        <item x="715"/>
        <item x="739"/>
        <item x="175"/>
        <item x="524"/>
        <item x="285"/>
        <item x="382"/>
        <item x="893"/>
        <item x="752"/>
        <item x="228"/>
        <item x="192"/>
        <item x="614"/>
        <item x="768"/>
        <item x="64"/>
        <item x="393"/>
        <item x="312"/>
        <item x="765"/>
        <item x="633"/>
        <item x="881"/>
        <item x="426"/>
        <item x="241"/>
        <item x="139"/>
        <item x="545"/>
        <item x="975"/>
        <item x="473"/>
        <item x="411"/>
        <item x="907"/>
        <item x="573"/>
        <item x="671"/>
        <item x="27"/>
        <item x="684"/>
        <item x="948"/>
        <item x="525"/>
        <item x="131"/>
        <item x="404"/>
        <item x="440"/>
        <item x="819"/>
        <item x="959"/>
        <item x="299"/>
        <item x="462"/>
        <item x="233"/>
        <item x="476"/>
        <item x="418"/>
        <item x="477"/>
        <item x="217"/>
        <item x="365"/>
        <item x="30"/>
        <item x="144"/>
        <item x="925"/>
        <item x="337"/>
        <item x="341"/>
        <item x="377"/>
        <item x="413"/>
        <item x="7"/>
        <item x="736"/>
        <item x="210"/>
        <item x="809"/>
        <item x="764"/>
        <item x="619"/>
        <item x="405"/>
        <item x="770"/>
        <item x="522"/>
        <item x="745"/>
        <item x="311"/>
        <item x="723"/>
        <item x="693"/>
        <item x="766"/>
        <item x="13"/>
        <item x="62"/>
        <item x="320"/>
        <item x="861"/>
        <item x="639"/>
        <item x="600"/>
        <item x="79"/>
        <item x="728"/>
        <item x="429"/>
        <item x="199"/>
        <item x="86"/>
        <item x="616"/>
        <item x="297"/>
        <item x="543"/>
        <item x="631"/>
        <item x="310"/>
        <item x="268"/>
        <item x="198"/>
        <item x="226"/>
        <item x="444"/>
        <item x="629"/>
        <item x="481"/>
        <item x="601"/>
        <item x="488"/>
        <item x="810"/>
        <item x="944"/>
        <item x="47"/>
        <item x="595"/>
        <item x="308"/>
        <item x="276"/>
        <item x="281"/>
        <item x="930"/>
        <item x="458"/>
        <item x="155"/>
        <item x="576"/>
        <item x="453"/>
        <item x="839"/>
        <item x="437"/>
        <item x="197"/>
        <item x="880"/>
        <item x="172"/>
        <item x="837"/>
        <item x="901"/>
        <item x="540"/>
        <item x="841"/>
        <item x="80"/>
        <item x="216"/>
        <item t="default"/>
      </items>
    </pivotField>
    <pivotField showAll="0">
      <items count="16">
        <item x="11"/>
        <item x="0"/>
        <item x="13"/>
        <item x="3"/>
        <item x="2"/>
        <item x="7"/>
        <item x="4"/>
        <item x="6"/>
        <item x="1"/>
        <item x="10"/>
        <item x="9"/>
        <item x="5"/>
        <item x="14"/>
        <item x="12"/>
        <item x="8"/>
        <item t="default"/>
      </items>
    </pivotField>
    <pivotField dataField="1" showAll="0">
      <items count="999">
        <item x="645"/>
        <item x="620"/>
        <item x="359"/>
        <item x="10"/>
        <item x="43"/>
        <item x="716"/>
        <item x="137"/>
        <item x="392"/>
        <item x="794"/>
        <item x="245"/>
        <item x="316"/>
        <item x="692"/>
        <item x="771"/>
        <item x="885"/>
        <item x="45"/>
        <item x="474"/>
        <item x="611"/>
        <item x="129"/>
        <item x="336"/>
        <item x="788"/>
        <item x="543"/>
        <item x="208"/>
        <item x="334"/>
        <item x="55"/>
        <item x="587"/>
        <item x="448"/>
        <item x="168"/>
        <item x="70"/>
        <item x="141"/>
        <item x="113"/>
        <item x="235"/>
        <item x="741"/>
        <item x="661"/>
        <item x="309"/>
        <item x="124"/>
        <item x="775"/>
        <item x="946"/>
        <item x="23"/>
        <item x="957"/>
        <item x="258"/>
        <item x="677"/>
        <item x="841"/>
        <item x="899"/>
        <item x="58"/>
        <item x="525"/>
        <item x="153"/>
        <item x="513"/>
        <item x="660"/>
        <item x="103"/>
        <item x="799"/>
        <item x="937"/>
        <item x="925"/>
        <item x="187"/>
        <item x="236"/>
        <item x="894"/>
        <item x="188"/>
        <item x="978"/>
        <item x="948"/>
        <item x="824"/>
        <item x="989"/>
        <item x="266"/>
        <item x="910"/>
        <item x="399"/>
        <item x="83"/>
        <item x="434"/>
        <item x="376"/>
        <item x="730"/>
        <item x="432"/>
        <item x="255"/>
        <item x="443"/>
        <item x="666"/>
        <item x="500"/>
        <item x="735"/>
        <item x="25"/>
        <item x="864"/>
        <item x="685"/>
        <item x="640"/>
        <item x="378"/>
        <item x="764"/>
        <item x="918"/>
        <item x="744"/>
        <item x="186"/>
        <item x="613"/>
        <item x="6"/>
        <item x="404"/>
        <item x="249"/>
        <item x="988"/>
        <item x="371"/>
        <item x="494"/>
        <item x="38"/>
        <item x="942"/>
        <item x="3"/>
        <item x="368"/>
        <item x="169"/>
        <item x="812"/>
        <item x="28"/>
        <item x="184"/>
        <item x="213"/>
        <item x="733"/>
        <item x="19"/>
        <item x="360"/>
        <item x="583"/>
        <item x="985"/>
        <item x="165"/>
        <item x="277"/>
        <item x="965"/>
        <item x="463"/>
        <item x="147"/>
        <item x="964"/>
        <item x="693"/>
        <item x="84"/>
        <item x="393"/>
        <item x="765"/>
        <item x="549"/>
        <item x="944"/>
        <item x="840"/>
        <item x="272"/>
        <item x="457"/>
        <item x="344"/>
        <item x="162"/>
        <item x="386"/>
        <item x="528"/>
        <item x="152"/>
        <item x="76"/>
        <item x="672"/>
        <item x="604"/>
        <item x="71"/>
        <item x="564"/>
        <item x="930"/>
        <item x="351"/>
        <item x="436"/>
        <item x="572"/>
        <item x="963"/>
        <item x="453"/>
        <item x="250"/>
        <item x="355"/>
        <item x="590"/>
        <item x="865"/>
        <item x="928"/>
        <item x="262"/>
        <item x="132"/>
        <item x="523"/>
        <item x="97"/>
        <item x="863"/>
        <item x="763"/>
        <item x="906"/>
        <item x="914"/>
        <item x="244"/>
        <item x="689"/>
        <item x="536"/>
        <item x="195"/>
        <item x="345"/>
        <item x="438"/>
        <item x="866"/>
        <item x="836"/>
        <item x="361"/>
        <item x="591"/>
        <item x="876"/>
        <item x="119"/>
        <item x="229"/>
        <item x="847"/>
        <item x="421"/>
        <item x="493"/>
        <item x="873"/>
        <item x="308"/>
        <item x="973"/>
        <item x="2"/>
        <item x="680"/>
        <item x="74"/>
        <item x="627"/>
        <item x="458"/>
        <item x="444"/>
        <item x="5"/>
        <item x="418"/>
        <item x="854"/>
        <item x="333"/>
        <item x="751"/>
        <item x="291"/>
        <item x="151"/>
        <item x="923"/>
        <item x="939"/>
        <item x="913"/>
        <item x="346"/>
        <item x="231"/>
        <item x="175"/>
        <item x="922"/>
        <item x="417"/>
        <item x="1"/>
        <item x="428"/>
        <item x="503"/>
        <item x="475"/>
        <item x="708"/>
        <item x="501"/>
        <item x="713"/>
        <item x="36"/>
        <item x="320"/>
        <item x="504"/>
        <item x="630"/>
        <item x="912"/>
        <item x="975"/>
        <item x="191"/>
        <item x="574"/>
        <item x="734"/>
        <item x="77"/>
        <item x="797"/>
        <item x="122"/>
        <item x="829"/>
        <item x="608"/>
        <item x="327"/>
        <item x="446"/>
        <item x="705"/>
        <item x="954"/>
        <item x="354"/>
        <item x="182"/>
        <item x="42"/>
        <item x="718"/>
        <item x="194"/>
        <item x="21"/>
        <item x="813"/>
        <item x="728"/>
        <item x="452"/>
        <item x="285"/>
        <item x="738"/>
        <item x="712"/>
        <item x="610"/>
        <item x="264"/>
        <item x="130"/>
        <item x="643"/>
        <item x="817"/>
        <item x="211"/>
        <item x="636"/>
        <item x="0"/>
        <item x="60"/>
        <item x="116"/>
        <item x="477"/>
        <item x="32"/>
        <item x="729"/>
        <item x="860"/>
        <item x="140"/>
        <item x="289"/>
        <item x="337"/>
        <item x="806"/>
        <item x="44"/>
        <item x="90"/>
        <item x="832"/>
        <item x="539"/>
        <item x="664"/>
        <item x="723"/>
        <item x="938"/>
        <item x="465"/>
        <item x="858"/>
        <item x="522"/>
        <item x="105"/>
        <item x="183"/>
        <item x="148"/>
        <item x="269"/>
        <item x="995"/>
        <item x="570"/>
        <item x="49"/>
        <item x="760"/>
        <item x="143"/>
        <item x="582"/>
        <item x="900"/>
        <item x="338"/>
        <item x="209"/>
        <item x="715"/>
        <item x="544"/>
        <item x="467"/>
        <item x="224"/>
        <item x="869"/>
        <item x="895"/>
        <item x="65"/>
        <item x="107"/>
        <item x="745"/>
        <item x="157"/>
        <item x="787"/>
        <item x="969"/>
        <item x="173"/>
        <item x="916"/>
        <item x="362"/>
        <item x="919"/>
        <item x="39"/>
        <item x="290"/>
        <item x="433"/>
        <item x="882"/>
        <item x="795"/>
        <item x="657"/>
        <item x="905"/>
        <item x="950"/>
        <item x="516"/>
        <item x="901"/>
        <item x="4"/>
        <item x="773"/>
        <item x="22"/>
        <item x="81"/>
        <item x="128"/>
        <item x="66"/>
        <item x="164"/>
        <item x="853"/>
        <item x="466"/>
        <item x="485"/>
        <item x="17"/>
        <item x="20"/>
        <item x="579"/>
        <item x="793"/>
        <item x="703"/>
        <item x="408"/>
        <item x="669"/>
        <item x="114"/>
        <item x="810"/>
        <item x="934"/>
        <item x="752"/>
        <item x="247"/>
        <item x="902"/>
        <item x="805"/>
        <item x="594"/>
        <item x="532"/>
        <item x="638"/>
        <item x="239"/>
        <item x="781"/>
        <item x="104"/>
        <item x="520"/>
        <item x="908"/>
        <item x="650"/>
        <item x="176"/>
        <item x="499"/>
        <item x="548"/>
        <item x="892"/>
        <item x="784"/>
        <item x="822"/>
        <item x="679"/>
        <item x="642"/>
        <item x="495"/>
        <item x="85"/>
        <item x="651"/>
        <item x="941"/>
        <item x="971"/>
        <item x="782"/>
        <item x="700"/>
        <item x="600"/>
        <item x="470"/>
        <item x="46"/>
        <item x="896"/>
        <item x="990"/>
        <item x="108"/>
        <item x="830"/>
        <item x="732"/>
        <item x="389"/>
        <item x="809"/>
        <item x="110"/>
        <item x="212"/>
        <item x="768"/>
        <item x="53"/>
        <item x="241"/>
        <item x="909"/>
        <item x="575"/>
        <item x="347"/>
        <item x="959"/>
        <item x="559"/>
        <item x="709"/>
        <item x="288"/>
        <item x="931"/>
        <item x="479"/>
        <item x="981"/>
        <item x="662"/>
        <item x="767"/>
        <item x="407"/>
        <item x="774"/>
        <item x="644"/>
        <item x="945"/>
        <item x="246"/>
        <item x="769"/>
        <item x="615"/>
        <item x="482"/>
        <item x="514"/>
        <item x="915"/>
        <item x="370"/>
        <item x="625"/>
        <item x="823"/>
        <item x="561"/>
        <item x="490"/>
        <item x="388"/>
        <item x="622"/>
        <item x="943"/>
        <item x="492"/>
        <item x="807"/>
        <item x="82"/>
        <item x="120"/>
        <item x="688"/>
        <item x="180"/>
        <item x="586"/>
        <item x="951"/>
        <item x="462"/>
        <item x="857"/>
        <item x="927"/>
        <item x="159"/>
        <item x="997"/>
        <item x="699"/>
        <item x="294"/>
        <item x="850"/>
        <item x="480"/>
        <item x="115"/>
        <item x="126"/>
        <item x="341"/>
        <item x="870"/>
        <item x="26"/>
        <item x="510"/>
        <item x="365"/>
        <item x="276"/>
        <item x="849"/>
        <item x="204"/>
        <item x="624"/>
        <item x="663"/>
        <item x="571"/>
        <item x="953"/>
        <item x="818"/>
        <item x="207"/>
        <item x="551"/>
        <item x="136"/>
        <item x="329"/>
        <item x="759"/>
        <item x="803"/>
        <item x="72"/>
        <item x="240"/>
        <item x="279"/>
        <item x="601"/>
        <item x="50"/>
        <item x="785"/>
        <item x="449"/>
        <item x="366"/>
        <item x="381"/>
        <item x="779"/>
        <item x="498"/>
        <item x="821"/>
        <item x="261"/>
        <item x="193"/>
        <item x="357"/>
        <item x="893"/>
        <item x="968"/>
        <item x="887"/>
        <item x="202"/>
        <item x="714"/>
        <item x="844"/>
        <item x="665"/>
        <item x="798"/>
        <item x="257"/>
        <item x="138"/>
        <item x="223"/>
        <item x="996"/>
        <item x="414"/>
        <item x="387"/>
        <item x="674"/>
        <item x="87"/>
        <item x="770"/>
        <item x="749"/>
        <item x="819"/>
        <item x="588"/>
        <item x="879"/>
        <item x="349"/>
        <item x="859"/>
        <item x="398"/>
        <item x="390"/>
        <item x="897"/>
        <item x="41"/>
        <item x="220"/>
        <item x="811"/>
        <item x="314"/>
        <item x="437"/>
        <item x="33"/>
        <item x="796"/>
        <item x="52"/>
        <item x="555"/>
        <item x="201"/>
        <item x="214"/>
        <item x="69"/>
        <item x="375"/>
        <item x="142"/>
        <item x="825"/>
        <item x="307"/>
        <item x="424"/>
        <item x="972"/>
        <item x="230"/>
        <item x="170"/>
        <item x="653"/>
        <item x="698"/>
        <item x="524"/>
        <item x="265"/>
        <item x="348"/>
        <item x="748"/>
        <item x="488"/>
        <item x="380"/>
        <item x="711"/>
        <item x="96"/>
        <item x="481"/>
        <item x="218"/>
        <item x="252"/>
        <item x="267"/>
        <item x="553"/>
        <item x="24"/>
        <item x="270"/>
        <item x="123"/>
        <item x="278"/>
        <item x="150"/>
        <item x="75"/>
        <item x="117"/>
        <item x="155"/>
        <item x="585"/>
        <item x="846"/>
        <item x="271"/>
        <item x="14"/>
        <item x="172"/>
        <item x="225"/>
        <item x="867"/>
        <item x="979"/>
        <item x="181"/>
        <item x="568"/>
        <item x="11"/>
        <item x="614"/>
        <item x="626"/>
        <item x="808"/>
        <item x="358"/>
        <item x="232"/>
        <item x="450"/>
        <item x="719"/>
        <item x="721"/>
        <item x="828"/>
        <item x="737"/>
        <item x="234"/>
        <item x="219"/>
        <item x="321"/>
        <item x="340"/>
        <item x="342"/>
        <item x="920"/>
        <item x="440"/>
        <item x="256"/>
        <item x="801"/>
        <item x="454"/>
        <item x="363"/>
        <item x="654"/>
        <item x="296"/>
        <item x="761"/>
        <item x="704"/>
        <item x="484"/>
        <item x="396"/>
        <item x="251"/>
        <item x="61"/>
        <item x="758"/>
        <item x="537"/>
        <item x="405"/>
        <item x="722"/>
        <item x="926"/>
        <item x="856"/>
        <item x="983"/>
        <item x="34"/>
        <item x="515"/>
        <item x="506"/>
        <item x="397"/>
        <item x="391"/>
        <item x="374"/>
        <item x="656"/>
        <item x="459"/>
        <item x="907"/>
        <item x="629"/>
        <item x="192"/>
        <item x="550"/>
        <item x="681"/>
        <item x="702"/>
        <item x="215"/>
        <item x="411"/>
        <item x="898"/>
        <item x="178"/>
        <item x="18"/>
        <item x="628"/>
        <item x="304"/>
        <item x="556"/>
        <item x="958"/>
        <item x="426"/>
        <item x="210"/>
        <item x="683"/>
        <item x="569"/>
        <item x="268"/>
        <item x="111"/>
        <item x="646"/>
        <item x="102"/>
        <item x="100"/>
        <item x="535"/>
        <item x="577"/>
        <item x="412"/>
        <item x="743"/>
        <item x="292"/>
        <item x="156"/>
        <item x="133"/>
        <item x="206"/>
        <item x="612"/>
        <item x="286"/>
        <item x="984"/>
        <item x="802"/>
        <item x="425"/>
        <item x="994"/>
        <item x="936"/>
        <item x="754"/>
        <item x="874"/>
        <item x="684"/>
        <item x="791"/>
        <item x="949"/>
        <item x="637"/>
        <item x="447"/>
        <item x="451"/>
        <item x="112"/>
        <item x="890"/>
        <item x="101"/>
        <item x="872"/>
        <item x="690"/>
        <item x="623"/>
        <item x="385"/>
        <item x="127"/>
        <item x="238"/>
        <item x="675"/>
        <item x="786"/>
        <item x="581"/>
        <item x="332"/>
        <item x="468"/>
        <item x="701"/>
        <item x="932"/>
        <item x="456"/>
        <item x="658"/>
        <item x="842"/>
        <item x="533"/>
        <item x="519"/>
        <item x="200"/>
        <item x="8"/>
        <item x="580"/>
        <item x="73"/>
        <item x="956"/>
        <item x="838"/>
        <item x="328"/>
        <item x="134"/>
        <item x="804"/>
        <item x="317"/>
        <item x="955"/>
        <item x="177"/>
        <item x="12"/>
        <item x="489"/>
        <item x="565"/>
        <item x="472"/>
        <item x="146"/>
        <item x="430"/>
        <item x="377"/>
        <item x="966"/>
        <item x="423"/>
        <item x="855"/>
        <item x="394"/>
        <item x="947"/>
        <item x="530"/>
        <item x="667"/>
        <item x="724"/>
        <item x="429"/>
        <item x="687"/>
        <item x="237"/>
        <item x="726"/>
        <item x="800"/>
        <item x="933"/>
        <item x="670"/>
        <item x="619"/>
        <item x="921"/>
        <item x="274"/>
        <item x="79"/>
        <item x="518"/>
        <item x="299"/>
        <item x="511"/>
        <item x="517"/>
        <item x="63"/>
        <item x="275"/>
        <item x="886"/>
        <item x="455"/>
        <item x="706"/>
        <item x="766"/>
        <item x="216"/>
        <item x="993"/>
        <item x="403"/>
        <item x="106"/>
        <item x="512"/>
        <item x="149"/>
        <item x="762"/>
        <item x="242"/>
        <item x="160"/>
        <item x="676"/>
        <item x="671"/>
        <item x="649"/>
        <item x="710"/>
        <item x="469"/>
        <item x="991"/>
        <item x="16"/>
        <item x="678"/>
        <item x="755"/>
        <item x="696"/>
        <item x="471"/>
        <item x="652"/>
        <item x="746"/>
        <item x="889"/>
        <item x="145"/>
        <item x="323"/>
        <item x="980"/>
        <item x="121"/>
        <item x="845"/>
        <item x="529"/>
        <item x="352"/>
        <item x="68"/>
        <item x="596"/>
        <item x="837"/>
        <item x="756"/>
        <item x="904"/>
        <item x="324"/>
        <item x="367"/>
        <item x="757"/>
        <item x="599"/>
        <item x="98"/>
        <item x="727"/>
        <item x="31"/>
        <item x="777"/>
        <item x="15"/>
        <item x="445"/>
        <item x="13"/>
        <item x="659"/>
        <item x="634"/>
        <item x="884"/>
        <item x="558"/>
        <item x="135"/>
        <item x="790"/>
        <item x="631"/>
        <item x="827"/>
        <item x="605"/>
        <item x="461"/>
        <item x="833"/>
        <item x="578"/>
        <item x="820"/>
        <item x="960"/>
        <item x="303"/>
        <item x="851"/>
        <item x="875"/>
        <item x="554"/>
        <item x="647"/>
        <item x="573"/>
        <item x="502"/>
        <item x="929"/>
        <item x="253"/>
        <item x="538"/>
        <item x="707"/>
        <item x="416"/>
        <item x="163"/>
        <item x="691"/>
        <item x="694"/>
        <item x="592"/>
        <item x="190"/>
        <item x="552"/>
        <item x="835"/>
        <item x="196"/>
        <item x="772"/>
        <item x="435"/>
        <item x="917"/>
        <item x="977"/>
        <item x="233"/>
        <item x="369"/>
        <item x="557"/>
        <item x="30"/>
        <item x="280"/>
        <item x="92"/>
        <item x="364"/>
        <item x="109"/>
        <item x="35"/>
        <item x="639"/>
        <item x="962"/>
        <item x="313"/>
        <item x="205"/>
        <item x="189"/>
        <item x="254"/>
        <item x="682"/>
        <item x="305"/>
        <item x="37"/>
        <item x="815"/>
        <item x="298"/>
        <item x="293"/>
        <item x="310"/>
        <item x="439"/>
        <item x="382"/>
        <item x="632"/>
        <item x="697"/>
        <item x="961"/>
        <item x="99"/>
        <item x="335"/>
        <item x="747"/>
        <item x="778"/>
        <item x="534"/>
        <item x="295"/>
        <item x="486"/>
        <item x="228"/>
        <item x="780"/>
        <item x="54"/>
        <item x="174"/>
        <item x="350"/>
        <item x="311"/>
        <item x="167"/>
        <item x="300"/>
        <item x="413"/>
        <item x="617"/>
        <item x="422"/>
        <item x="166"/>
        <item x="740"/>
        <item x="497"/>
        <item x="284"/>
        <item x="88"/>
        <item x="621"/>
        <item x="720"/>
        <item x="427"/>
        <item x="282"/>
        <item x="476"/>
        <item x="861"/>
        <item x="243"/>
        <item x="567"/>
        <item x="967"/>
        <item x="67"/>
        <item x="606"/>
        <item x="227"/>
        <item x="871"/>
        <item x="402"/>
        <item x="974"/>
        <item x="198"/>
        <item x="789"/>
        <item x="263"/>
        <item x="401"/>
        <item x="94"/>
        <item x="940"/>
        <item x="521"/>
        <item x="197"/>
        <item x="648"/>
        <item x="302"/>
        <item x="509"/>
        <item x="384"/>
        <item x="259"/>
        <item x="273"/>
        <item x="826"/>
        <item x="783"/>
        <item x="952"/>
        <item x="880"/>
        <item x="339"/>
        <item x="379"/>
        <item x="330"/>
        <item x="814"/>
        <item x="924"/>
        <item x="595"/>
        <item x="373"/>
        <item x="29"/>
        <item x="297"/>
        <item x="326"/>
        <item x="62"/>
        <item x="322"/>
        <item x="531"/>
        <item x="862"/>
        <item x="372"/>
        <item x="78"/>
        <item x="563"/>
        <item x="473"/>
        <item x="566"/>
        <item x="40"/>
        <item x="507"/>
        <item x="483"/>
        <item x="603"/>
        <item x="816"/>
        <item x="51"/>
        <item x="852"/>
        <item x="562"/>
        <item x="717"/>
        <item x="982"/>
        <item x="635"/>
        <item x="987"/>
        <item x="95"/>
        <item x="91"/>
        <item x="409"/>
        <item x="59"/>
        <item x="655"/>
        <item x="131"/>
        <item x="118"/>
        <item x="171"/>
        <item x="301"/>
        <item x="248"/>
        <item x="356"/>
        <item x="325"/>
        <item x="736"/>
        <item x="831"/>
        <item x="792"/>
        <item x="281"/>
        <item x="9"/>
        <item x="57"/>
        <item x="179"/>
        <item x="353"/>
        <item x="56"/>
        <item x="505"/>
        <item x="319"/>
        <item x="881"/>
        <item x="203"/>
        <item x="598"/>
        <item x="222"/>
        <item x="441"/>
        <item x="185"/>
        <item x="848"/>
        <item x="541"/>
        <item x="986"/>
        <item x="609"/>
        <item x="27"/>
        <item x="593"/>
        <item x="442"/>
        <item x="839"/>
        <item x="318"/>
        <item x="834"/>
        <item x="415"/>
        <item x="668"/>
        <item x="315"/>
        <item x="560"/>
        <item x="584"/>
        <item x="158"/>
        <item x="725"/>
        <item x="540"/>
        <item x="400"/>
        <item x="618"/>
        <item x="576"/>
        <item x="903"/>
        <item x="93"/>
        <item x="911"/>
        <item x="542"/>
        <item x="673"/>
        <item x="589"/>
        <item x="878"/>
        <item x="491"/>
        <item x="686"/>
        <item x="406"/>
        <item x="260"/>
        <item x="221"/>
        <item x="478"/>
        <item x="935"/>
        <item x="7"/>
        <item x="739"/>
        <item x="976"/>
        <item x="546"/>
        <item x="992"/>
        <item x="383"/>
        <item x="731"/>
        <item x="125"/>
        <item x="431"/>
        <item x="287"/>
        <item x="64"/>
        <item x="139"/>
        <item x="547"/>
        <item x="597"/>
        <item x="306"/>
        <item x="331"/>
        <item x="607"/>
        <item x="888"/>
        <item x="843"/>
        <item x="487"/>
        <item x="527"/>
        <item x="464"/>
        <item x="154"/>
        <item x="144"/>
        <item x="343"/>
        <item x="496"/>
        <item x="750"/>
        <item x="877"/>
        <item x="410"/>
        <item x="883"/>
        <item x="753"/>
        <item x="395"/>
        <item x="312"/>
        <item x="48"/>
        <item x="776"/>
        <item x="891"/>
        <item x="460"/>
        <item x="508"/>
        <item x="80"/>
        <item x="970"/>
        <item x="419"/>
        <item x="89"/>
        <item x="161"/>
        <item x="742"/>
        <item x="695"/>
        <item x="526"/>
        <item x="602"/>
        <item x="616"/>
        <item x="47"/>
        <item x="420"/>
        <item x="217"/>
        <item x="868"/>
        <item x="641"/>
        <item x="199"/>
        <item x="86"/>
        <item x="545"/>
        <item x="633"/>
        <item x="226"/>
        <item x="283"/>
        <item t="default"/>
      </items>
    </pivotField>
    <pivotField showAll="0">
      <items count="32">
        <item x="8"/>
        <item x="2"/>
        <item x="18"/>
        <item x="12"/>
        <item x="29"/>
        <item x="4"/>
        <item x="11"/>
        <item x="13"/>
        <item x="14"/>
        <item x="25"/>
        <item x="20"/>
        <item x="1"/>
        <item x="22"/>
        <item x="6"/>
        <item x="3"/>
        <item x="27"/>
        <item x="16"/>
        <item x="7"/>
        <item x="23"/>
        <item x="19"/>
        <item x="21"/>
        <item x="24"/>
        <item x="28"/>
        <item x="0"/>
        <item x="9"/>
        <item x="15"/>
        <item x="10"/>
        <item x="17"/>
        <item x="5"/>
        <item x="26"/>
        <item x="30"/>
        <item t="default"/>
      </items>
    </pivotField>
    <pivotField dataField="1" showAll="0">
      <items count="991">
        <item x="198"/>
        <item x="870"/>
        <item x="836"/>
        <item x="749"/>
        <item x="729"/>
        <item x="408"/>
        <item x="221"/>
        <item x="671"/>
        <item x="545"/>
        <item x="178"/>
        <item x="407"/>
        <item x="808"/>
        <item x="337"/>
        <item x="439"/>
        <item x="139"/>
        <item x="543"/>
        <item x="525"/>
        <item x="666"/>
        <item x="418"/>
        <item x="538"/>
        <item x="163"/>
        <item x="125"/>
        <item x="955"/>
        <item x="979"/>
        <item x="574"/>
        <item x="131"/>
        <item x="420"/>
        <item x="317"/>
        <item x="723"/>
        <item x="323"/>
        <item x="202"/>
        <item x="877"/>
        <item x="767"/>
        <item x="933"/>
        <item x="380"/>
        <item x="216"/>
        <item x="56"/>
        <item x="657"/>
        <item x="154"/>
        <item x="882"/>
        <item x="467"/>
        <item x="970"/>
        <item x="903"/>
        <item x="695"/>
        <item x="984"/>
        <item x="773"/>
        <item x="252"/>
        <item x="556"/>
        <item x="591"/>
        <item x="215"/>
        <item x="693"/>
        <item x="414"/>
        <item x="786"/>
        <item x="393"/>
        <item x="274"/>
        <item x="149"/>
        <item x="942"/>
        <item x="809"/>
        <item x="94"/>
        <item x="399"/>
        <item x="539"/>
        <item x="57"/>
        <item x="226"/>
        <item x="519"/>
        <item x="682"/>
        <item x="868"/>
        <item x="297"/>
        <item x="204"/>
        <item x="232"/>
        <item x="37"/>
        <item x="40"/>
        <item x="329"/>
        <item x="189"/>
        <item x="845"/>
        <item x="820"/>
        <item x="184"/>
        <item x="79"/>
        <item x="160"/>
        <item x="673"/>
        <item x="605"/>
        <item x="536"/>
        <item x="607"/>
        <item x="561"/>
        <item x="309"/>
        <item x="813"/>
        <item x="176"/>
        <item x="62"/>
        <item x="653"/>
        <item x="704"/>
        <item x="64"/>
        <item x="951"/>
        <item x="197"/>
        <item x="883"/>
        <item x="619"/>
        <item x="700"/>
        <item x="145"/>
        <item x="743"/>
        <item x="551"/>
        <item x="48"/>
        <item x="827"/>
        <item x="13"/>
        <item x="509"/>
        <item x="922"/>
        <item x="960"/>
        <item x="864"/>
        <item x="445"/>
        <item x="195"/>
        <item x="68"/>
        <item x="469"/>
        <item x="886"/>
        <item x="854"/>
        <item x="479"/>
        <item x="9"/>
        <item x="133"/>
        <item x="466"/>
        <item x="872"/>
        <item x="504"/>
        <item x="555"/>
        <item x="680"/>
        <item x="510"/>
        <item x="627"/>
        <item x="489"/>
        <item x="645"/>
        <item x="895"/>
        <item x="508"/>
        <item x="126"/>
        <item x="579"/>
        <item x="326"/>
        <item x="651"/>
        <item x="356"/>
        <item x="975"/>
        <item x="734"/>
        <item x="69"/>
        <item x="896"/>
        <item x="255"/>
        <item x="315"/>
        <item x="566"/>
        <item x="159"/>
        <item x="106"/>
        <item x="818"/>
        <item x="795"/>
        <item x="474"/>
        <item x="860"/>
        <item x="270"/>
        <item x="705"/>
        <item x="438"/>
        <item x="595"/>
        <item x="963"/>
        <item x="676"/>
        <item x="646"/>
        <item x="985"/>
        <item x="462"/>
        <item x="688"/>
        <item x="928"/>
        <item x="819"/>
        <item x="218"/>
        <item x="615"/>
        <item x="849"/>
        <item x="269"/>
        <item x="793"/>
        <item x="533"/>
        <item x="601"/>
        <item x="371"/>
        <item x="550"/>
        <item x="674"/>
        <item x="945"/>
        <item x="150"/>
        <item x="798"/>
        <item x="272"/>
        <item x="603"/>
        <item x="403"/>
        <item x="612"/>
        <item x="464"/>
        <item x="27"/>
        <item x="322"/>
        <item x="34"/>
        <item x="559"/>
        <item x="110"/>
        <item x="192"/>
        <item x="278"/>
        <item x="661"/>
        <item x="75"/>
        <item x="312"/>
        <item x="203"/>
        <item x="421"/>
        <item x="598"/>
        <item x="396"/>
        <item x="231"/>
        <item x="880"/>
        <item x="454"/>
        <item x="294"/>
        <item x="483"/>
        <item x="41"/>
        <item x="440"/>
        <item x="11"/>
        <item x="677"/>
        <item x="339"/>
        <item x="167"/>
        <item x="718"/>
        <item x="863"/>
        <item x="351"/>
        <item x="750"/>
        <item x="724"/>
        <item x="101"/>
        <item x="969"/>
        <item x="143"/>
        <item x="346"/>
        <item x="814"/>
        <item x="697"/>
        <item x="730"/>
        <item x="696"/>
        <item x="67"/>
        <item x="348"/>
        <item x="838"/>
        <item x="382"/>
        <item x="755"/>
        <item x="39"/>
        <item x="641"/>
        <item x="740"/>
        <item x="283"/>
        <item x="972"/>
        <item x="781"/>
        <item x="564"/>
        <item x="260"/>
        <item x="460"/>
        <item x="974"/>
        <item x="810"/>
        <item x="310"/>
        <item x="179"/>
        <item x="964"/>
        <item x="520"/>
        <item x="379"/>
        <item x="118"/>
        <item x="978"/>
        <item x="893"/>
        <item x="497"/>
        <item x="74"/>
        <item x="962"/>
        <item x="649"/>
        <item x="201"/>
        <item x="594"/>
        <item x="388"/>
        <item x="0"/>
        <item x="899"/>
        <item x="782"/>
        <item x="548"/>
        <item x="917"/>
        <item x="5"/>
        <item x="823"/>
        <item x="51"/>
        <item x="433"/>
        <item x="331"/>
        <item x="123"/>
        <item x="727"/>
        <item x="535"/>
        <item x="8"/>
        <item x="247"/>
        <item x="576"/>
        <item x="973"/>
        <item x="222"/>
        <item x="629"/>
        <item x="289"/>
        <item x="816"/>
        <item x="46"/>
        <item x="530"/>
        <item x="848"/>
        <item x="471"/>
        <item x="24"/>
        <item x="908"/>
        <item x="506"/>
        <item x="72"/>
        <item x="832"/>
        <item x="709"/>
        <item x="196"/>
        <item x="711"/>
        <item x="298"/>
        <item x="428"/>
        <item x="259"/>
        <item x="624"/>
        <item x="387"/>
        <item x="801"/>
        <item x="140"/>
        <item x="354"/>
        <item x="780"/>
        <item x="116"/>
        <item x="451"/>
        <item x="568"/>
        <item x="401"/>
        <item x="694"/>
        <item x="84"/>
        <item x="237"/>
        <item x="208"/>
        <item x="514"/>
        <item x="534"/>
        <item x="897"/>
        <item x="136"/>
        <item x="785"/>
        <item x="245"/>
        <item x="986"/>
        <item x="562"/>
        <item x="839"/>
        <item x="791"/>
        <item x="249"/>
        <item x="967"/>
        <item x="707"/>
        <item x="638"/>
        <item x="662"/>
        <item x="21"/>
        <item x="395"/>
        <item x="60"/>
        <item x="156"/>
        <item x="120"/>
        <item x="815"/>
        <item x="796"/>
        <item x="907"/>
        <item x="6"/>
        <item x="521"/>
        <item x="685"/>
        <item x="486"/>
        <item x="230"/>
        <item x="522"/>
        <item x="946"/>
        <item x="512"/>
        <item x="264"/>
        <item x="572"/>
        <item x="318"/>
        <item x="842"/>
        <item x="470"/>
        <item x="901"/>
        <item x="288"/>
        <item x="104"/>
        <item x="948"/>
        <item x="650"/>
        <item x="921"/>
        <item x="385"/>
        <item x="492"/>
        <item x="410"/>
        <item x="345"/>
        <item x="981"/>
        <item x="499"/>
        <item x="914"/>
        <item x="748"/>
        <item x="915"/>
        <item x="180"/>
        <item x="713"/>
        <item x="577"/>
        <item x="171"/>
        <item x="879"/>
        <item x="822"/>
        <item x="639"/>
        <item x="463"/>
        <item x="957"/>
        <item x="732"/>
        <item x="787"/>
        <item x="875"/>
        <item x="623"/>
        <item x="223"/>
        <item x="498"/>
        <item x="597"/>
        <item x="441"/>
        <item x="622"/>
        <item x="701"/>
        <item x="910"/>
        <item x="98"/>
        <item x="741"/>
        <item x="271"/>
        <item x="115"/>
        <item x="96"/>
        <item x="754"/>
        <item x="455"/>
        <item x="50"/>
        <item x="779"/>
        <item x="802"/>
        <item x="683"/>
        <item x="83"/>
        <item x="717"/>
        <item x="588"/>
        <item x="721"/>
        <item x="432"/>
        <item x="456"/>
        <item x="76"/>
        <item x="157"/>
        <item x="384"/>
        <item x="888"/>
        <item x="977"/>
        <item x="502"/>
        <item x="920"/>
        <item x="756"/>
        <item x="276"/>
        <item x="32"/>
        <item x="669"/>
        <item x="193"/>
        <item x="424"/>
        <item x="792"/>
        <item x="181"/>
        <item x="902"/>
        <item x="958"/>
        <item x="344"/>
        <item x="174"/>
        <item x="625"/>
        <item x="799"/>
        <item x="911"/>
        <item x="800"/>
        <item x="655"/>
        <item x="664"/>
        <item x="238"/>
        <item x="442"/>
        <item x="65"/>
        <item x="342"/>
        <item x="592"/>
        <item x="874"/>
        <item x="746"/>
        <item x="358"/>
        <item x="687"/>
        <item x="788"/>
        <item x="254"/>
        <item x="857"/>
        <item x="25"/>
        <item x="85"/>
        <item x="840"/>
        <item x="374"/>
        <item x="18"/>
        <item x="431"/>
        <item x="935"/>
        <item x="929"/>
        <item x="708"/>
        <item x="606"/>
        <item x="488"/>
        <item x="850"/>
        <item x="305"/>
        <item x="580"/>
        <item x="172"/>
        <item x="821"/>
        <item x="416"/>
        <item x="265"/>
        <item x="496"/>
        <item x="692"/>
        <item x="426"/>
        <item x="851"/>
        <item x="847"/>
        <item x="570"/>
        <item x="308"/>
        <item x="881"/>
        <item x="465"/>
        <item x="518"/>
        <item x="906"/>
        <item x="49"/>
        <item x="777"/>
        <item x="475"/>
        <item x="366"/>
        <item x="369"/>
        <item x="934"/>
        <item x="44"/>
        <item x="190"/>
        <item x="90"/>
        <item x="797"/>
        <item x="119"/>
        <item x="19"/>
        <item x="402"/>
        <item x="547"/>
        <item x="526"/>
        <item x="349"/>
        <item x="759"/>
        <item x="640"/>
        <item x="461"/>
        <item x="253"/>
        <item x="42"/>
        <item x="937"/>
        <item x="415"/>
        <item x="480"/>
        <item x="762"/>
        <item x="828"/>
        <item x="36"/>
        <item x="656"/>
        <item x="670"/>
        <item x="618"/>
        <item x="943"/>
        <item x="611"/>
        <item x="199"/>
        <item x="760"/>
        <item x="16"/>
        <item x="643"/>
        <item x="182"/>
        <item x="357"/>
        <item x="829"/>
        <item x="812"/>
        <item x="81"/>
        <item x="10"/>
        <item x="165"/>
        <item x="449"/>
        <item x="690"/>
        <item x="137"/>
        <item x="151"/>
        <item x="148"/>
        <item x="244"/>
        <item x="261"/>
        <item x="321"/>
        <item x="563"/>
        <item x="325"/>
        <item x="636"/>
        <item x="314"/>
        <item x="482"/>
        <item x="207"/>
        <item x="944"/>
        <item x="236"/>
        <item x="644"/>
        <item x="988"/>
        <item x="770"/>
        <item x="912"/>
        <item x="307"/>
        <item x="390"/>
        <item x="129"/>
        <item x="472"/>
        <item x="33"/>
        <item x="43"/>
        <item x="714"/>
        <item x="353"/>
        <item x="3"/>
        <item x="334"/>
        <item x="332"/>
        <item x="586"/>
        <item x="444"/>
        <item x="789"/>
        <item x="846"/>
        <item x="585"/>
        <item x="931"/>
        <item x="134"/>
        <item x="672"/>
        <item x="620"/>
        <item x="186"/>
        <item x="904"/>
        <item x="678"/>
        <item x="878"/>
        <item x="541"/>
        <item x="194"/>
        <item x="589"/>
        <item x="936"/>
        <item x="890"/>
        <item x="378"/>
        <item x="738"/>
        <item x="343"/>
        <item x="263"/>
        <item x="477"/>
        <item x="468"/>
        <item x="648"/>
        <item x="490"/>
        <item x="961"/>
        <item x="609"/>
        <item x="783"/>
        <item x="766"/>
        <item x="114"/>
        <item x="859"/>
        <item x="234"/>
        <item x="956"/>
        <item x="436"/>
        <item x="147"/>
        <item x="97"/>
        <item x="45"/>
        <item x="70"/>
        <item x="898"/>
        <item x="675"/>
        <item x="930"/>
        <item x="183"/>
        <item x="918"/>
        <item x="658"/>
        <item x="376"/>
        <item x="869"/>
        <item x="501"/>
        <item x="386"/>
        <item x="905"/>
        <item x="834"/>
        <item x="523"/>
        <item x="537"/>
        <item x="941"/>
        <item x="162"/>
        <item x="102"/>
        <item x="728"/>
        <item x="804"/>
        <item x="187"/>
        <item x="185"/>
        <item x="794"/>
        <item x="228"/>
        <item x="152"/>
        <item x="117"/>
        <item x="866"/>
        <item x="950"/>
        <item x="966"/>
        <item x="100"/>
        <item x="491"/>
        <item x="273"/>
        <item x="938"/>
        <item x="38"/>
        <item x="141"/>
        <item x="391"/>
        <item x="634"/>
        <item x="124"/>
        <item x="817"/>
        <item x="23"/>
        <item x="58"/>
        <item x="726"/>
        <item x="161"/>
        <item x="833"/>
        <item x="248"/>
        <item x="103"/>
        <item x="277"/>
        <item x="233"/>
        <item x="965"/>
        <item x="360"/>
        <item x="406"/>
        <item x="55"/>
        <item x="635"/>
        <item x="397"/>
        <item x="336"/>
        <item x="939"/>
        <item x="128"/>
        <item x="446"/>
        <item x="691"/>
        <item x="71"/>
        <item x="168"/>
        <item x="891"/>
        <item x="952"/>
        <item x="947"/>
        <item x="257"/>
        <item x="122"/>
        <item x="365"/>
        <item x="235"/>
        <item x="153"/>
        <item x="659"/>
        <item x="980"/>
        <item x="758"/>
        <item x="983"/>
        <item x="447"/>
        <item x="87"/>
        <item x="546"/>
        <item x="430"/>
        <item x="169"/>
        <item x="132"/>
        <item x="843"/>
        <item x="511"/>
        <item x="987"/>
        <item x="865"/>
        <item x="306"/>
        <item x="434"/>
        <item x="359"/>
        <item x="112"/>
        <item x="628"/>
        <item x="867"/>
        <item x="130"/>
        <item x="923"/>
        <item x="916"/>
        <item x="971"/>
        <item x="335"/>
        <item x="459"/>
        <item x="858"/>
        <item x="806"/>
        <item x="581"/>
        <item x="853"/>
        <item x="913"/>
        <item x="355"/>
        <item x="784"/>
        <item x="427"/>
        <item x="425"/>
        <item x="571"/>
        <item x="887"/>
        <item x="377"/>
        <item x="493"/>
        <item x="553"/>
        <item x="367"/>
        <item x="642"/>
        <item x="105"/>
        <item x="108"/>
        <item x="735"/>
        <item x="602"/>
        <item x="240"/>
        <item x="268"/>
        <item x="220"/>
        <item x="213"/>
        <item x="744"/>
        <item x="188"/>
        <item x="731"/>
        <item x="242"/>
        <item x="287"/>
        <item x="703"/>
        <item x="982"/>
        <item x="764"/>
        <item x="584"/>
        <item x="856"/>
        <item x="111"/>
        <item x="667"/>
        <item x="831"/>
        <item x="243"/>
        <item x="266"/>
        <item x="158"/>
        <item x="892"/>
        <item x="212"/>
        <item x="925"/>
        <item x="1"/>
        <item x="435"/>
        <item x="347"/>
        <item x="324"/>
        <item x="742"/>
        <item x="593"/>
        <item x="932"/>
        <item x="28"/>
        <item x="774"/>
        <item x="2"/>
        <item x="82"/>
        <item x="805"/>
        <item x="654"/>
        <item x="170"/>
        <item x="894"/>
        <item x="368"/>
        <item x="776"/>
        <item x="30"/>
        <item x="473"/>
        <item x="803"/>
        <item x="716"/>
        <item x="702"/>
        <item x="352"/>
        <item x="77"/>
        <item x="660"/>
        <item x="398"/>
        <item x="361"/>
        <item x="246"/>
        <item x="448"/>
        <item x="256"/>
        <item x="807"/>
        <item x="924"/>
        <item x="765"/>
        <item x="710"/>
        <item x="200"/>
        <item x="686"/>
        <item x="531"/>
        <item x="567"/>
        <item x="301"/>
        <item x="757"/>
        <item x="927"/>
        <item x="889"/>
        <item x="712"/>
        <item x="768"/>
        <item x="155"/>
        <item x="26"/>
        <item x="412"/>
        <item x="12"/>
        <item x="175"/>
        <item x="107"/>
        <item x="217"/>
        <item x="769"/>
        <item x="565"/>
        <item x="706"/>
        <item x="560"/>
        <item x="340"/>
        <item x="73"/>
        <item x="811"/>
        <item x="862"/>
        <item x="745"/>
        <item x="608"/>
        <item x="373"/>
        <item x="569"/>
        <item x="394"/>
        <item x="419"/>
        <item x="826"/>
        <item x="422"/>
        <item x="258"/>
        <item x="825"/>
        <item x="968"/>
        <item x="138"/>
        <item x="267"/>
        <item x="17"/>
        <item x="241"/>
        <item x="763"/>
        <item x="327"/>
        <item x="275"/>
        <item x="549"/>
        <item x="22"/>
        <item x="626"/>
        <item x="542"/>
        <item x="284"/>
        <item x="210"/>
        <item x="752"/>
        <item x="478"/>
        <item x="450"/>
        <item x="720"/>
        <item x="753"/>
        <item x="698"/>
        <item x="554"/>
        <item x="31"/>
        <item x="364"/>
        <item x="652"/>
        <item x="113"/>
        <item x="900"/>
        <item x="4"/>
        <item x="885"/>
        <item x="292"/>
        <item x="599"/>
        <item x="771"/>
        <item x="363"/>
        <item x="719"/>
        <item x="109"/>
        <item x="279"/>
        <item x="632"/>
        <item x="127"/>
        <item x="668"/>
        <item x="20"/>
        <item x="66"/>
        <item x="876"/>
        <item x="505"/>
        <item x="53"/>
        <item x="211"/>
        <item x="291"/>
        <item x="573"/>
        <item x="164"/>
        <item x="790"/>
        <item x="613"/>
        <item x="989"/>
        <item x="575"/>
        <item x="517"/>
        <item x="177"/>
        <item x="663"/>
        <item x="219"/>
        <item x="142"/>
        <item x="578"/>
        <item x="457"/>
        <item x="214"/>
        <item x="405"/>
        <item x="557"/>
        <item x="959"/>
        <item x="630"/>
        <item x="429"/>
        <item x="583"/>
        <item x="88"/>
        <item x="830"/>
        <item x="527"/>
        <item x="302"/>
        <item x="251"/>
        <item x="166"/>
        <item x="239"/>
        <item x="837"/>
        <item x="52"/>
        <item x="338"/>
        <item x="443"/>
        <item x="206"/>
        <item x="144"/>
        <item x="95"/>
        <item x="409"/>
        <item x="80"/>
        <item x="293"/>
        <item x="940"/>
        <item x="121"/>
        <item x="224"/>
        <item x="383"/>
        <item x="949"/>
        <item x="250"/>
        <item x="135"/>
        <item x="590"/>
        <item x="884"/>
        <item x="733"/>
        <item x="229"/>
        <item x="191"/>
        <item x="89"/>
        <item x="852"/>
        <item x="647"/>
        <item x="953"/>
        <item x="452"/>
        <item x="91"/>
        <item x="689"/>
        <item x="722"/>
        <item x="919"/>
        <item x="778"/>
        <item x="285"/>
        <item x="487"/>
        <item x="99"/>
        <item x="617"/>
        <item x="423"/>
        <item x="976"/>
        <item x="372"/>
        <item x="14"/>
        <item x="679"/>
        <item x="736"/>
        <item x="411"/>
        <item x="290"/>
        <item x="604"/>
        <item x="610"/>
        <item x="63"/>
        <item x="35"/>
        <item x="320"/>
        <item x="173"/>
        <item x="225"/>
        <item x="621"/>
        <item x="350"/>
        <item x="319"/>
        <item x="375"/>
        <item x="15"/>
        <item x="330"/>
        <item x="92"/>
        <item x="296"/>
        <item x="844"/>
        <item x="47"/>
        <item x="725"/>
        <item x="503"/>
        <item x="205"/>
        <item x="400"/>
        <item x="61"/>
        <item x="299"/>
        <item x="515"/>
        <item x="835"/>
        <item x="681"/>
        <item x="582"/>
        <item x="389"/>
        <item x="227"/>
        <item x="631"/>
        <item x="392"/>
        <item x="739"/>
        <item x="528"/>
        <item x="873"/>
        <item x="303"/>
        <item x="926"/>
        <item x="93"/>
        <item x="495"/>
        <item x="841"/>
        <item x="516"/>
        <item x="209"/>
        <item x="513"/>
        <item x="494"/>
        <item x="699"/>
        <item x="775"/>
        <item x="328"/>
        <item x="280"/>
        <item x="7"/>
        <item x="300"/>
        <item x="751"/>
        <item x="295"/>
        <item x="453"/>
        <item x="316"/>
        <item x="485"/>
        <item x="146"/>
        <item x="262"/>
        <item x="761"/>
        <item x="484"/>
        <item x="637"/>
        <item x="532"/>
        <item x="458"/>
        <item x="437"/>
        <item x="587"/>
        <item x="333"/>
        <item x="715"/>
        <item x="665"/>
        <item x="772"/>
        <item x="404"/>
        <item x="362"/>
        <item x="313"/>
        <item x="417"/>
        <item x="737"/>
        <item x="596"/>
        <item x="507"/>
        <item x="500"/>
        <item x="481"/>
        <item x="529"/>
        <item x="747"/>
        <item x="540"/>
        <item x="413"/>
        <item x="633"/>
        <item x="600"/>
        <item x="871"/>
        <item x="954"/>
        <item x="86"/>
        <item x="311"/>
        <item x="552"/>
        <item x="909"/>
        <item x="370"/>
        <item x="281"/>
        <item x="29"/>
        <item x="286"/>
        <item x="341"/>
        <item x="54"/>
        <item x="855"/>
        <item x="304"/>
        <item x="684"/>
        <item x="282"/>
        <item x="544"/>
        <item x="558"/>
        <item x="59"/>
        <item x="824"/>
        <item x="78"/>
        <item x="616"/>
        <item x="381"/>
        <item x="476"/>
        <item x="524"/>
        <item x="614"/>
        <item x="86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8" baseField="0" baseItem="0"/>
    <dataField name="Sum of Profit" fld="10" baseField="0" baseItem="0"/>
    <dataField name="Count of Order ID" fld="1" subtotal="count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useAutoFormatting="1" createdVersion="5" indent="0" outline="1" outlineData="1" multipleFieldFilters="0">
  <location ref="A3:E9" firstHeaderRow="1" firstDataRow="2" firstDataCol="1"/>
  <pivotFields count="13">
    <pivotField showAll="0">
      <items count="346">
        <item x="105"/>
        <item x="338"/>
        <item x="18"/>
        <item x="76"/>
        <item x="330"/>
        <item x="74"/>
        <item x="178"/>
        <item x="126"/>
        <item x="58"/>
        <item x="4"/>
        <item x="65"/>
        <item x="341"/>
        <item x="302"/>
        <item x="34"/>
        <item x="343"/>
        <item x="185"/>
        <item x="223"/>
        <item x="193"/>
        <item x="204"/>
        <item x="257"/>
        <item x="219"/>
        <item x="3"/>
        <item x="148"/>
        <item x="87"/>
        <item x="320"/>
        <item x="268"/>
        <item x="234"/>
        <item x="269"/>
        <item x="129"/>
        <item x="82"/>
        <item x="188"/>
        <item x="315"/>
        <item x="267"/>
        <item x="303"/>
        <item x="13"/>
        <item x="248"/>
        <item x="66"/>
        <item x="339"/>
        <item x="260"/>
        <item x="64"/>
        <item x="336"/>
        <item x="145"/>
        <item x="277"/>
        <item x="259"/>
        <item x="293"/>
        <item x="155"/>
        <item x="309"/>
        <item x="107"/>
        <item x="300"/>
        <item x="203"/>
        <item x="217"/>
        <item x="140"/>
        <item x="40"/>
        <item x="229"/>
        <item x="75"/>
        <item x="122"/>
        <item x="136"/>
        <item x="88"/>
        <item x="10"/>
        <item x="221"/>
        <item x="61"/>
        <item x="2"/>
        <item x="89"/>
        <item x="95"/>
        <item x="109"/>
        <item x="276"/>
        <item x="270"/>
        <item x="295"/>
        <item x="25"/>
        <item x="243"/>
        <item x="85"/>
        <item x="319"/>
        <item x="340"/>
        <item x="104"/>
        <item x="247"/>
        <item x="106"/>
        <item x="79"/>
        <item x="205"/>
        <item x="44"/>
        <item x="131"/>
        <item x="67"/>
        <item x="141"/>
        <item x="90"/>
        <item x="152"/>
        <item x="179"/>
        <item x="266"/>
        <item x="180"/>
        <item x="146"/>
        <item x="218"/>
        <item x="227"/>
        <item x="177"/>
        <item x="1"/>
        <item x="118"/>
        <item x="160"/>
        <item x="133"/>
        <item x="47"/>
        <item x="69"/>
        <item x="35"/>
        <item x="162"/>
        <item x="53"/>
        <item x="144"/>
        <item x="195"/>
        <item x="115"/>
        <item x="235"/>
        <item x="190"/>
        <item x="189"/>
        <item x="121"/>
        <item x="5"/>
        <item x="289"/>
        <item x="167"/>
        <item x="28"/>
        <item x="209"/>
        <item x="181"/>
        <item x="124"/>
        <item x="329"/>
        <item x="249"/>
        <item x="17"/>
        <item x="83"/>
        <item x="15"/>
        <item x="286"/>
        <item x="186"/>
        <item x="246"/>
        <item x="200"/>
        <item x="24"/>
        <item x="326"/>
        <item x="253"/>
        <item x="93"/>
        <item x="55"/>
        <item x="114"/>
        <item x="112"/>
        <item x="280"/>
        <item x="241"/>
        <item x="308"/>
        <item x="134"/>
        <item x="108"/>
        <item x="211"/>
        <item x="135"/>
        <item x="333"/>
        <item x="175"/>
        <item x="331"/>
        <item x="168"/>
        <item x="37"/>
        <item x="201"/>
        <item x="127"/>
        <item x="29"/>
        <item x="291"/>
        <item x="33"/>
        <item x="27"/>
        <item x="94"/>
        <item x="60"/>
        <item x="306"/>
        <item x="30"/>
        <item x="287"/>
        <item x="213"/>
        <item x="103"/>
        <item x="198"/>
        <item x="153"/>
        <item x="322"/>
        <item x="196"/>
        <item x="210"/>
        <item x="342"/>
        <item x="239"/>
        <item x="137"/>
        <item x="59"/>
        <item x="176"/>
        <item x="54"/>
        <item x="194"/>
        <item x="9"/>
        <item x="251"/>
        <item x="143"/>
        <item x="128"/>
        <item x="318"/>
        <item x="22"/>
        <item x="68"/>
        <item x="78"/>
        <item x="150"/>
        <item x="301"/>
        <item x="130"/>
        <item x="307"/>
        <item x="207"/>
        <item x="165"/>
        <item x="335"/>
        <item x="20"/>
        <item x="147"/>
        <item x="123"/>
        <item x="278"/>
        <item x="172"/>
        <item x="310"/>
        <item x="323"/>
        <item x="245"/>
        <item x="283"/>
        <item x="298"/>
        <item x="237"/>
        <item x="57"/>
        <item x="202"/>
        <item x="312"/>
        <item x="261"/>
        <item x="183"/>
        <item x="274"/>
        <item x="174"/>
        <item x="14"/>
        <item x="233"/>
        <item x="254"/>
        <item x="199"/>
        <item x="224"/>
        <item x="139"/>
        <item x="72"/>
        <item x="232"/>
        <item x="252"/>
        <item x="282"/>
        <item x="6"/>
        <item x="244"/>
        <item x="258"/>
        <item x="314"/>
        <item x="31"/>
        <item x="187"/>
        <item x="272"/>
        <item x="111"/>
        <item x="220"/>
        <item x="225"/>
        <item x="16"/>
        <item x="265"/>
        <item x="48"/>
        <item x="216"/>
        <item x="305"/>
        <item x="42"/>
        <item x="197"/>
        <item x="344"/>
        <item x="275"/>
        <item x="288"/>
        <item x="285"/>
        <item x="324"/>
        <item x="191"/>
        <item x="26"/>
        <item x="119"/>
        <item x="290"/>
        <item x="62"/>
        <item x="98"/>
        <item x="101"/>
        <item x="81"/>
        <item x="19"/>
        <item x="71"/>
        <item x="256"/>
        <item x="215"/>
        <item x="231"/>
        <item x="161"/>
        <item x="120"/>
        <item x="296"/>
        <item x="97"/>
        <item x="46"/>
        <item x="23"/>
        <item x="41"/>
        <item x="264"/>
        <item x="157"/>
        <item x="159"/>
        <item x="102"/>
        <item x="96"/>
        <item x="294"/>
        <item x="325"/>
        <item x="86"/>
        <item x="151"/>
        <item x="110"/>
        <item x="154"/>
        <item x="52"/>
        <item x="38"/>
        <item x="56"/>
        <item x="91"/>
        <item x="337"/>
        <item x="208"/>
        <item x="77"/>
        <item x="39"/>
        <item x="158"/>
        <item x="45"/>
        <item x="240"/>
        <item x="142"/>
        <item x="0"/>
        <item x="49"/>
        <item x="304"/>
        <item x="279"/>
        <item x="43"/>
        <item x="50"/>
        <item x="299"/>
        <item x="36"/>
        <item x="184"/>
        <item x="182"/>
        <item x="230"/>
        <item x="332"/>
        <item x="226"/>
        <item x="214"/>
        <item x="116"/>
        <item x="138"/>
        <item x="117"/>
        <item x="262"/>
        <item x="273"/>
        <item x="292"/>
        <item x="192"/>
        <item x="164"/>
        <item x="321"/>
        <item x="334"/>
        <item x="236"/>
        <item x="113"/>
        <item x="132"/>
        <item x="317"/>
        <item x="311"/>
        <item x="263"/>
        <item x="70"/>
        <item x="242"/>
        <item x="100"/>
        <item x="32"/>
        <item x="173"/>
        <item x="297"/>
        <item x="281"/>
        <item x="206"/>
        <item x="149"/>
        <item x="284"/>
        <item x="51"/>
        <item x="84"/>
        <item x="171"/>
        <item x="125"/>
        <item x="99"/>
        <item x="92"/>
        <item x="170"/>
        <item x="7"/>
        <item x="169"/>
        <item x="250"/>
        <item x="80"/>
        <item x="8"/>
        <item x="327"/>
        <item x="238"/>
        <item x="313"/>
        <item x="228"/>
        <item x="163"/>
        <item x="316"/>
        <item x="212"/>
        <item x="156"/>
        <item x="11"/>
        <item x="271"/>
        <item x="63"/>
        <item x="328"/>
        <item x="21"/>
        <item x="73"/>
        <item x="222"/>
        <item x="166"/>
        <item x="255"/>
        <item x="12"/>
        <item t="default"/>
      </items>
    </pivotField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>
      <items count="21">
        <item x="0"/>
        <item x="9"/>
        <item x="10"/>
        <item x="12"/>
        <item x="7"/>
        <item x="2"/>
        <item x="6"/>
        <item x="5"/>
        <item x="3"/>
        <item x="14"/>
        <item x="8"/>
        <item x="4"/>
        <item x="13"/>
        <item x="19"/>
        <item x="11"/>
        <item x="16"/>
        <item x="15"/>
        <item x="18"/>
        <item x="17"/>
        <item x="1"/>
        <item t="default"/>
      </items>
    </pivotField>
    <pivotField showAll="0">
      <items count="988">
        <item x="332"/>
        <item x="245"/>
        <item x="643"/>
        <item x="357"/>
        <item x="618"/>
        <item x="10"/>
        <item x="432"/>
        <item x="738"/>
        <item x="187"/>
        <item x="886"/>
        <item x="658"/>
        <item x="208"/>
        <item x="43"/>
        <item x="977"/>
        <item x="767"/>
        <item x="397"/>
        <item x="55"/>
        <item x="249"/>
        <item x="358"/>
        <item x="168"/>
        <item x="129"/>
        <item x="690"/>
        <item x="664"/>
        <item x="936"/>
        <item x="585"/>
        <item x="430"/>
        <item x="391"/>
        <item x="349"/>
        <item x="455"/>
        <item x="147"/>
        <item x="84"/>
        <item x="896"/>
        <item x="511"/>
        <item x="908"/>
        <item x="588"/>
        <item x="416"/>
        <item x="938"/>
        <item x="915"/>
        <item x="36"/>
        <item x="374"/>
        <item x="932"/>
        <item x="19"/>
        <item x="502"/>
        <item x="857"/>
        <item x="436"/>
        <item x="716"/>
        <item x="902"/>
        <item x="834"/>
        <item x="918"/>
        <item x="132"/>
        <item x="287"/>
        <item x="714"/>
        <item x="165"/>
        <item x="58"/>
        <item x="153"/>
        <item x="188"/>
        <item x="967"/>
        <item x="913"/>
        <item x="572"/>
        <item x="735"/>
        <item x="267"/>
        <item x="90"/>
        <item x="264"/>
        <item x="306"/>
        <item x="260"/>
        <item x="137"/>
        <item x="390"/>
        <item x="224"/>
        <item x="157"/>
        <item x="235"/>
        <item x="659"/>
        <item x="124"/>
        <item x="336"/>
        <item x="542"/>
        <item x="108"/>
        <item x="856"/>
        <item x="789"/>
        <item x="334"/>
        <item x="638"/>
        <item x="76"/>
        <item x="182"/>
        <item x="359"/>
        <item x="541"/>
        <item x="209"/>
        <item x="1"/>
        <item x="183"/>
        <item x="501"/>
        <item x="499"/>
        <item x="186"/>
        <item x="818"/>
        <item x="191"/>
        <item x="262"/>
        <item x="77"/>
        <item x="483"/>
        <item x="352"/>
        <item x="42"/>
        <item x="247"/>
        <item x="526"/>
        <item x="49"/>
        <item x="213"/>
        <item x="927"/>
        <item x="81"/>
        <item x="823"/>
        <item x="606"/>
        <item x="858"/>
        <item x="5"/>
        <item x="726"/>
        <item x="497"/>
        <item x="816"/>
        <item x="53"/>
        <item x="283"/>
        <item x="667"/>
        <item x="769"/>
        <item x="592"/>
        <item x="141"/>
        <item x="314"/>
        <item x="114"/>
        <item x="109"/>
        <item x="176"/>
        <item x="307"/>
        <item x="464"/>
        <item x="419"/>
        <item x="577"/>
        <item x="71"/>
        <item x="899"/>
        <item x="292"/>
        <item x="771"/>
        <item x="931"/>
        <item x="3"/>
        <item x="757"/>
        <item x="749"/>
        <item x="22"/>
        <item x="184"/>
        <item x="21"/>
        <item x="725"/>
        <item x="824"/>
        <item x="877"/>
        <item x="623"/>
        <item x="648"/>
        <item x="947"/>
        <item x="441"/>
        <item x="386"/>
        <item x="677"/>
        <item x="732"/>
        <item x="45"/>
        <item x="979"/>
        <item x="60"/>
        <item x="683"/>
        <item x="4"/>
        <item x="143"/>
        <item x="792"/>
        <item x="122"/>
        <item x="472"/>
        <item x="128"/>
        <item x="801"/>
        <item x="229"/>
        <item x="609"/>
        <item x="933"/>
        <item x="863"/>
        <item x="180"/>
        <item x="2"/>
        <item x="204"/>
        <item x="847"/>
        <item x="331"/>
        <item x="670"/>
        <item x="570"/>
        <item x="451"/>
        <item x="620"/>
        <item x="661"/>
        <item x="69"/>
        <item x="713"/>
        <item x="964"/>
        <item x="697"/>
        <item x="731"/>
        <item x="807"/>
        <item x="244"/>
        <item x="339"/>
        <item x="783"/>
        <item x="447"/>
        <item x="111"/>
        <item x="859"/>
        <item x="586"/>
        <item x="39"/>
        <item x="431"/>
        <item x="263"/>
        <item x="891"/>
        <item x="974"/>
        <item x="218"/>
        <item x="978"/>
        <item x="327"/>
        <item x="986"/>
        <item x="660"/>
        <item x="900"/>
        <item x="678"/>
        <item x="954"/>
        <item x="246"/>
        <item x="599"/>
        <item x="608"/>
        <item x="822"/>
        <item x="456"/>
        <item x="234"/>
        <item x="422"/>
        <item x="698"/>
        <item x="559"/>
        <item x="508"/>
        <item x="652"/>
        <item x="251"/>
        <item x="934"/>
        <item x="729"/>
        <item x="803"/>
        <item x="265"/>
        <item x="912"/>
        <item x="958"/>
        <item x="254"/>
        <item x="33"/>
        <item x="557"/>
        <item x="602"/>
        <item x="286"/>
        <item x="921"/>
        <item x="672"/>
        <item x="920"/>
        <item x="898"/>
        <item x="613"/>
        <item x="815"/>
        <item x="940"/>
        <item x="403"/>
        <item x="250"/>
        <item x="105"/>
        <item x="551"/>
        <item x="368"/>
        <item x="202"/>
        <item x="325"/>
        <item x="703"/>
        <item x="435"/>
        <item x="554"/>
        <item x="761"/>
        <item x="194"/>
        <item x="741"/>
        <item x="170"/>
        <item x="611"/>
        <item x="6"/>
        <item x="849"/>
        <item x="446"/>
        <item x="70"/>
        <item x="710"/>
        <item x="800"/>
        <item x="830"/>
        <item x="583"/>
        <item x="38"/>
        <item x="512"/>
        <item x="100"/>
        <item x="173"/>
        <item x="634"/>
        <item x="622"/>
        <item x="968"/>
        <item x="985"/>
        <item x="983"/>
        <item x="922"/>
        <item x="812"/>
        <item x="288"/>
        <item x="625"/>
        <item x="549"/>
        <item x="82"/>
        <item x="939"/>
        <item x="748"/>
        <item x="96"/>
        <item x="598"/>
        <item x="479"/>
        <item x="28"/>
        <item x="151"/>
        <item x="584"/>
        <item x="347"/>
        <item x="865"/>
        <item x="537"/>
        <item x="134"/>
        <item x="238"/>
        <item x="928"/>
        <item x="903"/>
        <item x="102"/>
        <item x="730"/>
        <item x="520"/>
        <item x="466"/>
        <item x="269"/>
        <item x="415"/>
        <item x="23"/>
        <item x="220"/>
        <item x="885"/>
        <item x="879"/>
        <item x="148"/>
        <item x="860"/>
        <item x="345"/>
        <item x="711"/>
        <item x="675"/>
        <item x="835"/>
        <item x="890"/>
        <item x="200"/>
        <item x="635"/>
        <item x="882"/>
        <item x="523"/>
        <item x="232"/>
        <item x="223"/>
        <item x="315"/>
        <item x="795"/>
        <item x="984"/>
        <item x="935"/>
        <item x="717"/>
        <item x="385"/>
        <item x="569"/>
        <item x="530"/>
        <item x="461"/>
        <item x="953"/>
        <item x="905"/>
        <item x="699"/>
        <item x="740"/>
        <item x="580"/>
        <item x="156"/>
        <item x="797"/>
        <item x="679"/>
        <item x="862"/>
        <item x="751"/>
        <item x="762"/>
        <item x="482"/>
        <item x="409"/>
        <item x="547"/>
        <item x="724"/>
        <item x="384"/>
        <item x="923"/>
        <item x="720"/>
        <item x="617"/>
        <item x="152"/>
        <item x="424"/>
        <item x="808"/>
        <item x="791"/>
        <item x="777"/>
        <item x="389"/>
        <item x="562"/>
        <item x="528"/>
        <item x="651"/>
        <item x="103"/>
        <item x="952"/>
        <item x="126"/>
        <item x="794"/>
        <item x="284"/>
        <item x="401"/>
        <item x="138"/>
        <item x="641"/>
        <item x="682"/>
        <item x="255"/>
        <item x="796"/>
        <item x="811"/>
        <item x="26"/>
        <item x="361"/>
        <item x="145"/>
        <item x="24"/>
        <item x="274"/>
        <item x="445"/>
        <item x="702"/>
        <item x="350"/>
        <item x="353"/>
        <item x="707"/>
        <item x="146"/>
        <item x="428"/>
        <item x="970"/>
        <item x="140"/>
        <item x="567"/>
        <item x="330"/>
        <item x="642"/>
        <item x="15"/>
        <item x="273"/>
        <item x="20"/>
        <item x="97"/>
        <item x="644"/>
        <item x="504"/>
        <item x="676"/>
        <item x="480"/>
        <item x="236"/>
        <item x="904"/>
        <item x="701"/>
        <item x="624"/>
        <item x="531"/>
        <item x="534"/>
        <item x="133"/>
        <item x="721"/>
        <item x="321"/>
        <item x="372"/>
        <item x="206"/>
        <item x="610"/>
        <item x="463"/>
        <item x="115"/>
        <item x="68"/>
        <item x="379"/>
        <item x="373"/>
        <item x="326"/>
        <item x="305"/>
        <item x="120"/>
        <item x="160"/>
        <item x="636"/>
        <item x="686"/>
        <item x="700"/>
        <item x="516"/>
        <item x="957"/>
        <item x="910"/>
        <item x="104"/>
        <item x="452"/>
        <item x="571"/>
        <item x="119"/>
        <item x="850"/>
        <item x="673"/>
        <item x="781"/>
        <item x="491"/>
        <item x="848"/>
        <item x="962"/>
        <item x="510"/>
        <item x="821"/>
        <item x="603"/>
        <item x="74"/>
        <item x="640"/>
        <item x="843"/>
        <item x="150"/>
        <item x="237"/>
        <item x="289"/>
        <item x="468"/>
        <item x="83"/>
        <item x="46"/>
        <item x="708"/>
        <item x="92"/>
        <item x="362"/>
        <item x="566"/>
        <item x="509"/>
        <item x="396"/>
        <item x="65"/>
        <item x="344"/>
        <item x="231"/>
        <item x="727"/>
        <item x="356"/>
        <item x="742"/>
        <item x="627"/>
        <item x="876"/>
        <item x="375"/>
        <item x="955"/>
        <item x="253"/>
        <item x="719"/>
        <item x="136"/>
        <item x="706"/>
        <item x="734"/>
        <item x="498"/>
        <item x="579"/>
        <item x="18"/>
        <item x="142"/>
        <item x="844"/>
        <item x="302"/>
        <item x="322"/>
        <item x="318"/>
        <item x="230"/>
        <item x="628"/>
        <item x="758"/>
        <item x="780"/>
        <item x="454"/>
        <item x="696"/>
        <item x="874"/>
        <item x="25"/>
        <item x="535"/>
        <item x="895"/>
        <item x="205"/>
        <item x="578"/>
        <item x="692"/>
        <item x="590"/>
        <item x="410"/>
        <item x="189"/>
        <item x="355"/>
        <item x="515"/>
        <item x="290"/>
        <item x="16"/>
        <item x="650"/>
        <item x="376"/>
        <item x="743"/>
        <item x="867"/>
        <item x="490"/>
        <item x="420"/>
        <item x="878"/>
        <item x="225"/>
        <item x="814"/>
        <item x="949"/>
        <item x="113"/>
        <item x="392"/>
        <item x="688"/>
        <item x="457"/>
        <item x="897"/>
        <item x="280"/>
        <item x="759"/>
        <item x="474"/>
        <item x="11"/>
        <item x="159"/>
        <item x="773"/>
        <item x="746"/>
        <item x="406"/>
        <item x="864"/>
        <item x="402"/>
        <item x="450"/>
        <item x="871"/>
        <item x="829"/>
        <item x="178"/>
        <item x="805"/>
        <item x="924"/>
        <item x="632"/>
        <item x="467"/>
        <item x="656"/>
        <item x="980"/>
        <item x="291"/>
        <item x="556"/>
        <item x="911"/>
        <item x="135"/>
        <item x="272"/>
        <item x="369"/>
        <item x="130"/>
        <item x="239"/>
        <item x="630"/>
        <item x="319"/>
        <item x="340"/>
        <item x="41"/>
        <item x="492"/>
        <item x="8"/>
        <item x="211"/>
        <item x="112"/>
        <item x="278"/>
        <item x="363"/>
        <item x="121"/>
        <item x="294"/>
        <item x="842"/>
        <item x="546"/>
        <item x="637"/>
        <item x="533"/>
        <item x="884"/>
        <item x="177"/>
        <item x="0"/>
        <item x="704"/>
        <item x="201"/>
        <item x="61"/>
        <item x="831"/>
        <item x="753"/>
        <item x="755"/>
        <item x="167"/>
        <item x="894"/>
        <item x="961"/>
        <item x="475"/>
        <item x="107"/>
        <item x="32"/>
        <item x="298"/>
        <item x="261"/>
        <item x="853"/>
        <item x="423"/>
        <item x="493"/>
        <item x="85"/>
        <item x="649"/>
        <item x="421"/>
        <item x="335"/>
        <item x="346"/>
        <item x="34"/>
        <item x="366"/>
        <item x="722"/>
        <item x="486"/>
        <item x="44"/>
        <item x="166"/>
        <item x="169"/>
        <item x="378"/>
        <item x="106"/>
        <item x="257"/>
        <item x="826"/>
        <item x="88"/>
        <item x="277"/>
        <item x="950"/>
        <item x="662"/>
        <item x="123"/>
        <item x="744"/>
        <item x="774"/>
        <item x="851"/>
        <item x="654"/>
        <item x="845"/>
        <item x="364"/>
        <item x="459"/>
        <item x="827"/>
        <item x="75"/>
        <item x="565"/>
        <item x="496"/>
        <item x="872"/>
        <item x="14"/>
        <item x="212"/>
        <item x="35"/>
        <item x="548"/>
        <item x="951"/>
        <item x="309"/>
        <item x="215"/>
        <item x="552"/>
        <item x="328"/>
        <item x="838"/>
        <item x="519"/>
        <item x="63"/>
        <item x="527"/>
        <item x="59"/>
        <item x="581"/>
        <item x="646"/>
        <item x="181"/>
        <item x="324"/>
        <item x="663"/>
        <item x="507"/>
        <item x="612"/>
        <item x="626"/>
        <item x="73"/>
        <item x="275"/>
        <item x="754"/>
        <item x="737"/>
        <item x="505"/>
        <item x="190"/>
        <item x="799"/>
        <item x="31"/>
        <item x="487"/>
        <item x="563"/>
        <item x="149"/>
        <item x="412"/>
        <item x="568"/>
        <item x="57"/>
        <item x="560"/>
        <item x="470"/>
        <item x="242"/>
        <item x="854"/>
        <item x="333"/>
        <item x="575"/>
        <item x="691"/>
        <item x="657"/>
        <item x="532"/>
        <item x="338"/>
        <item x="817"/>
        <item x="784"/>
        <item x="776"/>
        <item x="647"/>
        <item x="465"/>
        <item x="185"/>
        <item x="852"/>
        <item x="802"/>
        <item x="427"/>
        <item x="685"/>
        <item x="887"/>
        <item x="248"/>
        <item x="615"/>
        <item x="300"/>
        <item x="270"/>
        <item x="564"/>
        <item x="469"/>
        <item x="782"/>
        <item x="342"/>
        <item x="162"/>
        <item x="825"/>
        <item x="271"/>
        <item x="668"/>
        <item x="806"/>
        <item x="279"/>
        <item x="621"/>
        <item x="383"/>
        <item x="941"/>
        <item x="460"/>
        <item x="919"/>
        <item x="942"/>
        <item x="917"/>
        <item x="52"/>
        <item x="179"/>
        <item x="553"/>
        <item x="414"/>
        <item x="513"/>
        <item x="425"/>
        <item x="906"/>
        <item x="214"/>
        <item x="163"/>
        <item x="395"/>
        <item x="689"/>
        <item x="360"/>
        <item x="503"/>
        <item x="909"/>
        <item x="550"/>
        <item x="976"/>
        <item x="243"/>
        <item x="99"/>
        <item x="407"/>
        <item x="538"/>
        <item x="597"/>
        <item x="478"/>
        <item x="604"/>
        <item x="116"/>
        <item x="434"/>
        <item x="593"/>
        <item x="963"/>
        <item x="790"/>
        <item x="763"/>
        <item x="836"/>
        <item x="171"/>
        <item x="484"/>
        <item x="443"/>
        <item x="655"/>
        <item x="514"/>
        <item x="174"/>
        <item x="709"/>
        <item x="529"/>
        <item x="607"/>
        <item x="348"/>
        <item x="561"/>
        <item x="252"/>
        <item x="591"/>
        <item x="555"/>
        <item x="471"/>
        <item x="787"/>
        <item x="832"/>
        <item x="40"/>
        <item x="785"/>
        <item x="828"/>
        <item x="489"/>
        <item x="66"/>
        <item x="12"/>
        <item x="258"/>
        <item x="164"/>
        <item x="117"/>
        <item x="56"/>
        <item x="846"/>
        <item x="669"/>
        <item x="943"/>
        <item x="317"/>
        <item x="207"/>
        <item x="681"/>
        <item x="495"/>
        <item x="282"/>
        <item x="596"/>
        <item x="680"/>
        <item x="222"/>
        <item x="718"/>
        <item x="95"/>
        <item x="266"/>
        <item x="91"/>
        <item x="17"/>
        <item x="303"/>
        <item x="756"/>
        <item x="521"/>
        <item x="937"/>
        <item x="500"/>
        <item x="798"/>
        <item x="665"/>
        <item x="72"/>
        <item x="760"/>
        <item x="296"/>
        <item x="788"/>
        <item x="240"/>
        <item x="539"/>
        <item x="694"/>
        <item x="705"/>
        <item x="118"/>
        <item x="687"/>
        <item x="371"/>
        <item x="67"/>
        <item x="227"/>
        <item x="93"/>
        <item x="295"/>
        <item x="400"/>
        <item x="195"/>
        <item x="969"/>
        <item x="343"/>
        <item x="50"/>
        <item x="973"/>
        <item x="399"/>
        <item x="448"/>
        <item x="870"/>
        <item x="196"/>
        <item x="370"/>
        <item x="594"/>
        <item x="926"/>
        <item x="94"/>
        <item x="293"/>
        <item x="9"/>
        <item x="433"/>
        <item x="775"/>
        <item x="786"/>
        <item x="605"/>
        <item x="892"/>
        <item x="221"/>
        <item x="485"/>
        <item x="54"/>
        <item x="666"/>
        <item x="313"/>
        <item x="589"/>
        <item x="259"/>
        <item x="219"/>
        <item x="193"/>
        <item x="449"/>
        <item x="154"/>
        <item x="98"/>
        <item x="966"/>
        <item x="101"/>
        <item x="438"/>
        <item x="868"/>
        <item x="820"/>
        <item x="494"/>
        <item x="518"/>
        <item x="203"/>
        <item x="367"/>
        <item x="127"/>
        <item x="712"/>
        <item x="778"/>
        <item x="971"/>
        <item x="981"/>
        <item x="574"/>
        <item x="439"/>
        <item x="110"/>
        <item x="840"/>
        <item x="869"/>
        <item x="793"/>
        <item x="394"/>
        <item x="779"/>
        <item x="866"/>
        <item x="982"/>
        <item x="256"/>
        <item x="653"/>
        <item x="875"/>
        <item x="750"/>
        <item x="48"/>
        <item x="772"/>
        <item x="916"/>
        <item x="304"/>
        <item x="587"/>
        <item x="329"/>
        <item x="914"/>
        <item x="972"/>
        <item x="883"/>
        <item x="354"/>
        <item x="833"/>
        <item x="37"/>
        <item x="323"/>
        <item x="316"/>
        <item x="29"/>
        <item x="87"/>
        <item x="960"/>
        <item x="733"/>
        <item x="506"/>
        <item x="956"/>
        <item x="517"/>
        <item x="301"/>
        <item x="442"/>
        <item x="855"/>
        <item x="813"/>
        <item x="78"/>
        <item x="417"/>
        <item x="645"/>
        <item x="965"/>
        <item x="888"/>
        <item x="558"/>
        <item x="380"/>
        <item x="674"/>
        <item x="695"/>
        <item x="544"/>
        <item x="946"/>
        <item x="582"/>
        <item x="158"/>
        <item x="351"/>
        <item x="929"/>
        <item x="747"/>
        <item x="945"/>
        <item x="536"/>
        <item x="398"/>
        <item x="388"/>
        <item x="889"/>
        <item x="51"/>
        <item x="387"/>
        <item x="381"/>
        <item x="408"/>
        <item x="89"/>
        <item x="161"/>
        <item x="804"/>
        <item x="125"/>
        <item x="873"/>
        <item x="715"/>
        <item x="739"/>
        <item x="175"/>
        <item x="524"/>
        <item x="285"/>
        <item x="382"/>
        <item x="893"/>
        <item x="752"/>
        <item x="228"/>
        <item x="192"/>
        <item x="614"/>
        <item x="768"/>
        <item x="64"/>
        <item x="393"/>
        <item x="312"/>
        <item x="765"/>
        <item x="633"/>
        <item x="881"/>
        <item x="426"/>
        <item x="241"/>
        <item x="139"/>
        <item x="545"/>
        <item x="975"/>
        <item x="473"/>
        <item x="411"/>
        <item x="907"/>
        <item x="573"/>
        <item x="671"/>
        <item x="27"/>
        <item x="684"/>
        <item x="948"/>
        <item x="525"/>
        <item x="131"/>
        <item x="404"/>
        <item x="440"/>
        <item x="819"/>
        <item x="959"/>
        <item x="299"/>
        <item x="462"/>
        <item x="233"/>
        <item x="476"/>
        <item x="418"/>
        <item x="477"/>
        <item x="217"/>
        <item x="365"/>
        <item x="30"/>
        <item x="144"/>
        <item x="925"/>
        <item x="337"/>
        <item x="341"/>
        <item x="377"/>
        <item x="413"/>
        <item x="7"/>
        <item x="736"/>
        <item x="210"/>
        <item x="809"/>
        <item x="764"/>
        <item x="619"/>
        <item x="405"/>
        <item x="770"/>
        <item x="522"/>
        <item x="745"/>
        <item x="311"/>
        <item x="723"/>
        <item x="693"/>
        <item x="766"/>
        <item x="13"/>
        <item x="62"/>
        <item x="320"/>
        <item x="861"/>
        <item x="639"/>
        <item x="600"/>
        <item x="79"/>
        <item x="728"/>
        <item x="429"/>
        <item x="199"/>
        <item x="86"/>
        <item x="616"/>
        <item x="297"/>
        <item x="543"/>
        <item x="631"/>
        <item x="310"/>
        <item x="268"/>
        <item x="198"/>
        <item x="226"/>
        <item x="444"/>
        <item x="629"/>
        <item x="481"/>
        <item x="601"/>
        <item x="488"/>
        <item x="810"/>
        <item x="944"/>
        <item x="47"/>
        <item x="595"/>
        <item x="308"/>
        <item x="276"/>
        <item x="281"/>
        <item x="930"/>
        <item x="458"/>
        <item x="155"/>
        <item x="576"/>
        <item x="453"/>
        <item x="839"/>
        <item x="437"/>
        <item x="197"/>
        <item x="880"/>
        <item x="172"/>
        <item x="837"/>
        <item x="901"/>
        <item x="540"/>
        <item x="841"/>
        <item x="80"/>
        <item x="216"/>
        <item t="default"/>
      </items>
    </pivotField>
    <pivotField showAll="0">
      <items count="16">
        <item x="11"/>
        <item x="0"/>
        <item x="13"/>
        <item x="3"/>
        <item x="2"/>
        <item x="7"/>
        <item x="4"/>
        <item x="6"/>
        <item x="1"/>
        <item x="10"/>
        <item x="9"/>
        <item x="5"/>
        <item x="14"/>
        <item x="12"/>
        <item x="8"/>
        <item t="default"/>
      </items>
    </pivotField>
    <pivotField dataField="1" showAll="0">
      <items count="999">
        <item x="645"/>
        <item x="620"/>
        <item x="359"/>
        <item x="10"/>
        <item x="43"/>
        <item x="716"/>
        <item x="137"/>
        <item x="392"/>
        <item x="794"/>
        <item x="245"/>
        <item x="316"/>
        <item x="692"/>
        <item x="771"/>
        <item x="885"/>
        <item x="45"/>
        <item x="474"/>
        <item x="611"/>
        <item x="129"/>
        <item x="336"/>
        <item x="788"/>
        <item x="543"/>
        <item x="208"/>
        <item x="334"/>
        <item x="55"/>
        <item x="587"/>
        <item x="448"/>
        <item x="168"/>
        <item x="70"/>
        <item x="141"/>
        <item x="113"/>
        <item x="235"/>
        <item x="741"/>
        <item x="661"/>
        <item x="309"/>
        <item x="124"/>
        <item x="775"/>
        <item x="946"/>
        <item x="23"/>
        <item x="957"/>
        <item x="258"/>
        <item x="677"/>
        <item x="841"/>
        <item x="899"/>
        <item x="58"/>
        <item x="525"/>
        <item x="153"/>
        <item x="513"/>
        <item x="660"/>
        <item x="103"/>
        <item x="799"/>
        <item x="937"/>
        <item x="925"/>
        <item x="187"/>
        <item x="236"/>
        <item x="894"/>
        <item x="188"/>
        <item x="978"/>
        <item x="948"/>
        <item x="824"/>
        <item x="989"/>
        <item x="266"/>
        <item x="910"/>
        <item x="399"/>
        <item x="83"/>
        <item x="434"/>
        <item x="376"/>
        <item x="730"/>
        <item x="432"/>
        <item x="255"/>
        <item x="443"/>
        <item x="666"/>
        <item x="500"/>
        <item x="735"/>
        <item x="25"/>
        <item x="864"/>
        <item x="685"/>
        <item x="640"/>
        <item x="378"/>
        <item x="764"/>
        <item x="918"/>
        <item x="744"/>
        <item x="186"/>
        <item x="613"/>
        <item x="6"/>
        <item x="404"/>
        <item x="249"/>
        <item x="988"/>
        <item x="371"/>
        <item x="494"/>
        <item x="38"/>
        <item x="942"/>
        <item x="3"/>
        <item x="368"/>
        <item x="169"/>
        <item x="812"/>
        <item x="28"/>
        <item x="184"/>
        <item x="213"/>
        <item x="733"/>
        <item x="19"/>
        <item x="360"/>
        <item x="583"/>
        <item x="985"/>
        <item x="165"/>
        <item x="277"/>
        <item x="965"/>
        <item x="463"/>
        <item x="147"/>
        <item x="964"/>
        <item x="693"/>
        <item x="84"/>
        <item x="393"/>
        <item x="765"/>
        <item x="549"/>
        <item x="944"/>
        <item x="840"/>
        <item x="272"/>
        <item x="457"/>
        <item x="344"/>
        <item x="162"/>
        <item x="386"/>
        <item x="528"/>
        <item x="152"/>
        <item x="76"/>
        <item x="672"/>
        <item x="604"/>
        <item x="71"/>
        <item x="564"/>
        <item x="930"/>
        <item x="351"/>
        <item x="436"/>
        <item x="572"/>
        <item x="963"/>
        <item x="453"/>
        <item x="250"/>
        <item x="355"/>
        <item x="590"/>
        <item x="865"/>
        <item x="928"/>
        <item x="262"/>
        <item x="132"/>
        <item x="523"/>
        <item x="97"/>
        <item x="863"/>
        <item x="763"/>
        <item x="906"/>
        <item x="914"/>
        <item x="244"/>
        <item x="689"/>
        <item x="536"/>
        <item x="195"/>
        <item x="345"/>
        <item x="438"/>
        <item x="866"/>
        <item x="836"/>
        <item x="361"/>
        <item x="591"/>
        <item x="876"/>
        <item x="119"/>
        <item x="229"/>
        <item x="847"/>
        <item x="421"/>
        <item x="493"/>
        <item x="873"/>
        <item x="308"/>
        <item x="973"/>
        <item x="2"/>
        <item x="680"/>
        <item x="74"/>
        <item x="627"/>
        <item x="458"/>
        <item x="444"/>
        <item x="5"/>
        <item x="418"/>
        <item x="854"/>
        <item x="333"/>
        <item x="751"/>
        <item x="291"/>
        <item x="151"/>
        <item x="923"/>
        <item x="939"/>
        <item x="913"/>
        <item x="346"/>
        <item x="231"/>
        <item x="175"/>
        <item x="922"/>
        <item x="417"/>
        <item x="1"/>
        <item x="428"/>
        <item x="503"/>
        <item x="475"/>
        <item x="708"/>
        <item x="501"/>
        <item x="713"/>
        <item x="36"/>
        <item x="320"/>
        <item x="504"/>
        <item x="630"/>
        <item x="912"/>
        <item x="975"/>
        <item x="191"/>
        <item x="574"/>
        <item x="734"/>
        <item x="77"/>
        <item x="797"/>
        <item x="122"/>
        <item x="829"/>
        <item x="608"/>
        <item x="327"/>
        <item x="446"/>
        <item x="705"/>
        <item x="954"/>
        <item x="354"/>
        <item x="182"/>
        <item x="42"/>
        <item x="718"/>
        <item x="194"/>
        <item x="21"/>
        <item x="813"/>
        <item x="728"/>
        <item x="452"/>
        <item x="285"/>
        <item x="738"/>
        <item x="712"/>
        <item x="610"/>
        <item x="264"/>
        <item x="130"/>
        <item x="643"/>
        <item x="817"/>
        <item x="211"/>
        <item x="636"/>
        <item x="0"/>
        <item x="60"/>
        <item x="116"/>
        <item x="477"/>
        <item x="32"/>
        <item x="729"/>
        <item x="860"/>
        <item x="140"/>
        <item x="289"/>
        <item x="337"/>
        <item x="806"/>
        <item x="44"/>
        <item x="90"/>
        <item x="832"/>
        <item x="539"/>
        <item x="664"/>
        <item x="723"/>
        <item x="938"/>
        <item x="465"/>
        <item x="858"/>
        <item x="522"/>
        <item x="105"/>
        <item x="183"/>
        <item x="148"/>
        <item x="269"/>
        <item x="995"/>
        <item x="570"/>
        <item x="49"/>
        <item x="760"/>
        <item x="143"/>
        <item x="582"/>
        <item x="900"/>
        <item x="338"/>
        <item x="209"/>
        <item x="715"/>
        <item x="544"/>
        <item x="467"/>
        <item x="224"/>
        <item x="869"/>
        <item x="895"/>
        <item x="65"/>
        <item x="107"/>
        <item x="745"/>
        <item x="157"/>
        <item x="787"/>
        <item x="969"/>
        <item x="173"/>
        <item x="916"/>
        <item x="362"/>
        <item x="919"/>
        <item x="39"/>
        <item x="290"/>
        <item x="433"/>
        <item x="882"/>
        <item x="795"/>
        <item x="657"/>
        <item x="905"/>
        <item x="950"/>
        <item x="516"/>
        <item x="901"/>
        <item x="4"/>
        <item x="773"/>
        <item x="22"/>
        <item x="81"/>
        <item x="128"/>
        <item x="66"/>
        <item x="164"/>
        <item x="853"/>
        <item x="466"/>
        <item x="485"/>
        <item x="17"/>
        <item x="20"/>
        <item x="579"/>
        <item x="793"/>
        <item x="703"/>
        <item x="408"/>
        <item x="669"/>
        <item x="114"/>
        <item x="810"/>
        <item x="934"/>
        <item x="752"/>
        <item x="247"/>
        <item x="902"/>
        <item x="805"/>
        <item x="594"/>
        <item x="532"/>
        <item x="638"/>
        <item x="239"/>
        <item x="781"/>
        <item x="104"/>
        <item x="520"/>
        <item x="908"/>
        <item x="650"/>
        <item x="176"/>
        <item x="499"/>
        <item x="548"/>
        <item x="892"/>
        <item x="784"/>
        <item x="822"/>
        <item x="679"/>
        <item x="642"/>
        <item x="495"/>
        <item x="85"/>
        <item x="651"/>
        <item x="941"/>
        <item x="971"/>
        <item x="782"/>
        <item x="700"/>
        <item x="600"/>
        <item x="470"/>
        <item x="46"/>
        <item x="896"/>
        <item x="990"/>
        <item x="108"/>
        <item x="830"/>
        <item x="732"/>
        <item x="389"/>
        <item x="809"/>
        <item x="110"/>
        <item x="212"/>
        <item x="768"/>
        <item x="53"/>
        <item x="241"/>
        <item x="909"/>
        <item x="575"/>
        <item x="347"/>
        <item x="959"/>
        <item x="559"/>
        <item x="709"/>
        <item x="288"/>
        <item x="931"/>
        <item x="479"/>
        <item x="981"/>
        <item x="662"/>
        <item x="767"/>
        <item x="407"/>
        <item x="774"/>
        <item x="644"/>
        <item x="945"/>
        <item x="246"/>
        <item x="769"/>
        <item x="615"/>
        <item x="482"/>
        <item x="514"/>
        <item x="915"/>
        <item x="370"/>
        <item x="625"/>
        <item x="823"/>
        <item x="561"/>
        <item x="490"/>
        <item x="388"/>
        <item x="622"/>
        <item x="943"/>
        <item x="492"/>
        <item x="807"/>
        <item x="82"/>
        <item x="120"/>
        <item x="688"/>
        <item x="180"/>
        <item x="586"/>
        <item x="951"/>
        <item x="462"/>
        <item x="857"/>
        <item x="927"/>
        <item x="159"/>
        <item x="997"/>
        <item x="699"/>
        <item x="294"/>
        <item x="850"/>
        <item x="480"/>
        <item x="115"/>
        <item x="126"/>
        <item x="341"/>
        <item x="870"/>
        <item x="26"/>
        <item x="510"/>
        <item x="365"/>
        <item x="276"/>
        <item x="849"/>
        <item x="204"/>
        <item x="624"/>
        <item x="663"/>
        <item x="571"/>
        <item x="953"/>
        <item x="818"/>
        <item x="207"/>
        <item x="551"/>
        <item x="136"/>
        <item x="329"/>
        <item x="759"/>
        <item x="803"/>
        <item x="72"/>
        <item x="240"/>
        <item x="279"/>
        <item x="601"/>
        <item x="50"/>
        <item x="785"/>
        <item x="449"/>
        <item x="366"/>
        <item x="381"/>
        <item x="779"/>
        <item x="498"/>
        <item x="821"/>
        <item x="261"/>
        <item x="193"/>
        <item x="357"/>
        <item x="893"/>
        <item x="968"/>
        <item x="887"/>
        <item x="202"/>
        <item x="714"/>
        <item x="844"/>
        <item x="665"/>
        <item x="798"/>
        <item x="257"/>
        <item x="138"/>
        <item x="223"/>
        <item x="996"/>
        <item x="414"/>
        <item x="387"/>
        <item x="674"/>
        <item x="87"/>
        <item x="770"/>
        <item x="749"/>
        <item x="819"/>
        <item x="588"/>
        <item x="879"/>
        <item x="349"/>
        <item x="859"/>
        <item x="398"/>
        <item x="390"/>
        <item x="897"/>
        <item x="41"/>
        <item x="220"/>
        <item x="811"/>
        <item x="314"/>
        <item x="437"/>
        <item x="33"/>
        <item x="796"/>
        <item x="52"/>
        <item x="555"/>
        <item x="201"/>
        <item x="214"/>
        <item x="69"/>
        <item x="375"/>
        <item x="142"/>
        <item x="825"/>
        <item x="307"/>
        <item x="424"/>
        <item x="972"/>
        <item x="230"/>
        <item x="170"/>
        <item x="653"/>
        <item x="698"/>
        <item x="524"/>
        <item x="265"/>
        <item x="348"/>
        <item x="748"/>
        <item x="488"/>
        <item x="380"/>
        <item x="711"/>
        <item x="96"/>
        <item x="481"/>
        <item x="218"/>
        <item x="252"/>
        <item x="267"/>
        <item x="553"/>
        <item x="24"/>
        <item x="270"/>
        <item x="123"/>
        <item x="278"/>
        <item x="150"/>
        <item x="75"/>
        <item x="117"/>
        <item x="155"/>
        <item x="585"/>
        <item x="846"/>
        <item x="271"/>
        <item x="14"/>
        <item x="172"/>
        <item x="225"/>
        <item x="867"/>
        <item x="979"/>
        <item x="181"/>
        <item x="568"/>
        <item x="11"/>
        <item x="614"/>
        <item x="626"/>
        <item x="808"/>
        <item x="358"/>
        <item x="232"/>
        <item x="450"/>
        <item x="719"/>
        <item x="721"/>
        <item x="828"/>
        <item x="737"/>
        <item x="234"/>
        <item x="219"/>
        <item x="321"/>
        <item x="340"/>
        <item x="342"/>
        <item x="920"/>
        <item x="440"/>
        <item x="256"/>
        <item x="801"/>
        <item x="454"/>
        <item x="363"/>
        <item x="654"/>
        <item x="296"/>
        <item x="761"/>
        <item x="704"/>
        <item x="484"/>
        <item x="396"/>
        <item x="251"/>
        <item x="61"/>
        <item x="758"/>
        <item x="537"/>
        <item x="405"/>
        <item x="722"/>
        <item x="926"/>
        <item x="856"/>
        <item x="983"/>
        <item x="34"/>
        <item x="515"/>
        <item x="506"/>
        <item x="397"/>
        <item x="391"/>
        <item x="374"/>
        <item x="656"/>
        <item x="459"/>
        <item x="907"/>
        <item x="629"/>
        <item x="192"/>
        <item x="550"/>
        <item x="681"/>
        <item x="702"/>
        <item x="215"/>
        <item x="411"/>
        <item x="898"/>
        <item x="178"/>
        <item x="18"/>
        <item x="628"/>
        <item x="304"/>
        <item x="556"/>
        <item x="958"/>
        <item x="426"/>
        <item x="210"/>
        <item x="683"/>
        <item x="569"/>
        <item x="268"/>
        <item x="111"/>
        <item x="646"/>
        <item x="102"/>
        <item x="100"/>
        <item x="535"/>
        <item x="577"/>
        <item x="412"/>
        <item x="743"/>
        <item x="292"/>
        <item x="156"/>
        <item x="133"/>
        <item x="206"/>
        <item x="612"/>
        <item x="286"/>
        <item x="984"/>
        <item x="802"/>
        <item x="425"/>
        <item x="994"/>
        <item x="936"/>
        <item x="754"/>
        <item x="874"/>
        <item x="684"/>
        <item x="791"/>
        <item x="949"/>
        <item x="637"/>
        <item x="447"/>
        <item x="451"/>
        <item x="112"/>
        <item x="890"/>
        <item x="101"/>
        <item x="872"/>
        <item x="690"/>
        <item x="623"/>
        <item x="385"/>
        <item x="127"/>
        <item x="238"/>
        <item x="675"/>
        <item x="786"/>
        <item x="581"/>
        <item x="332"/>
        <item x="468"/>
        <item x="701"/>
        <item x="932"/>
        <item x="456"/>
        <item x="658"/>
        <item x="842"/>
        <item x="533"/>
        <item x="519"/>
        <item x="200"/>
        <item x="8"/>
        <item x="580"/>
        <item x="73"/>
        <item x="956"/>
        <item x="838"/>
        <item x="328"/>
        <item x="134"/>
        <item x="804"/>
        <item x="317"/>
        <item x="955"/>
        <item x="177"/>
        <item x="12"/>
        <item x="489"/>
        <item x="565"/>
        <item x="472"/>
        <item x="146"/>
        <item x="430"/>
        <item x="377"/>
        <item x="966"/>
        <item x="423"/>
        <item x="855"/>
        <item x="394"/>
        <item x="947"/>
        <item x="530"/>
        <item x="667"/>
        <item x="724"/>
        <item x="429"/>
        <item x="687"/>
        <item x="237"/>
        <item x="726"/>
        <item x="800"/>
        <item x="933"/>
        <item x="670"/>
        <item x="619"/>
        <item x="921"/>
        <item x="274"/>
        <item x="79"/>
        <item x="518"/>
        <item x="299"/>
        <item x="511"/>
        <item x="517"/>
        <item x="63"/>
        <item x="275"/>
        <item x="886"/>
        <item x="455"/>
        <item x="706"/>
        <item x="766"/>
        <item x="216"/>
        <item x="993"/>
        <item x="403"/>
        <item x="106"/>
        <item x="512"/>
        <item x="149"/>
        <item x="762"/>
        <item x="242"/>
        <item x="160"/>
        <item x="676"/>
        <item x="671"/>
        <item x="649"/>
        <item x="710"/>
        <item x="469"/>
        <item x="991"/>
        <item x="16"/>
        <item x="678"/>
        <item x="755"/>
        <item x="696"/>
        <item x="471"/>
        <item x="652"/>
        <item x="746"/>
        <item x="889"/>
        <item x="145"/>
        <item x="323"/>
        <item x="980"/>
        <item x="121"/>
        <item x="845"/>
        <item x="529"/>
        <item x="352"/>
        <item x="68"/>
        <item x="596"/>
        <item x="837"/>
        <item x="756"/>
        <item x="904"/>
        <item x="324"/>
        <item x="367"/>
        <item x="757"/>
        <item x="599"/>
        <item x="98"/>
        <item x="727"/>
        <item x="31"/>
        <item x="777"/>
        <item x="15"/>
        <item x="445"/>
        <item x="13"/>
        <item x="659"/>
        <item x="634"/>
        <item x="884"/>
        <item x="558"/>
        <item x="135"/>
        <item x="790"/>
        <item x="631"/>
        <item x="827"/>
        <item x="605"/>
        <item x="461"/>
        <item x="833"/>
        <item x="578"/>
        <item x="820"/>
        <item x="960"/>
        <item x="303"/>
        <item x="851"/>
        <item x="875"/>
        <item x="554"/>
        <item x="647"/>
        <item x="573"/>
        <item x="502"/>
        <item x="929"/>
        <item x="253"/>
        <item x="538"/>
        <item x="707"/>
        <item x="416"/>
        <item x="163"/>
        <item x="691"/>
        <item x="694"/>
        <item x="592"/>
        <item x="190"/>
        <item x="552"/>
        <item x="835"/>
        <item x="196"/>
        <item x="772"/>
        <item x="435"/>
        <item x="917"/>
        <item x="977"/>
        <item x="233"/>
        <item x="369"/>
        <item x="557"/>
        <item x="30"/>
        <item x="280"/>
        <item x="92"/>
        <item x="364"/>
        <item x="109"/>
        <item x="35"/>
        <item x="639"/>
        <item x="962"/>
        <item x="313"/>
        <item x="205"/>
        <item x="189"/>
        <item x="254"/>
        <item x="682"/>
        <item x="305"/>
        <item x="37"/>
        <item x="815"/>
        <item x="298"/>
        <item x="293"/>
        <item x="310"/>
        <item x="439"/>
        <item x="382"/>
        <item x="632"/>
        <item x="697"/>
        <item x="961"/>
        <item x="99"/>
        <item x="335"/>
        <item x="747"/>
        <item x="778"/>
        <item x="534"/>
        <item x="295"/>
        <item x="486"/>
        <item x="228"/>
        <item x="780"/>
        <item x="54"/>
        <item x="174"/>
        <item x="350"/>
        <item x="311"/>
        <item x="167"/>
        <item x="300"/>
        <item x="413"/>
        <item x="617"/>
        <item x="422"/>
        <item x="166"/>
        <item x="740"/>
        <item x="497"/>
        <item x="284"/>
        <item x="88"/>
        <item x="621"/>
        <item x="720"/>
        <item x="427"/>
        <item x="282"/>
        <item x="476"/>
        <item x="861"/>
        <item x="243"/>
        <item x="567"/>
        <item x="967"/>
        <item x="67"/>
        <item x="606"/>
        <item x="227"/>
        <item x="871"/>
        <item x="402"/>
        <item x="974"/>
        <item x="198"/>
        <item x="789"/>
        <item x="263"/>
        <item x="401"/>
        <item x="94"/>
        <item x="940"/>
        <item x="521"/>
        <item x="197"/>
        <item x="648"/>
        <item x="302"/>
        <item x="509"/>
        <item x="384"/>
        <item x="259"/>
        <item x="273"/>
        <item x="826"/>
        <item x="783"/>
        <item x="952"/>
        <item x="880"/>
        <item x="339"/>
        <item x="379"/>
        <item x="330"/>
        <item x="814"/>
        <item x="924"/>
        <item x="595"/>
        <item x="373"/>
        <item x="29"/>
        <item x="297"/>
        <item x="326"/>
        <item x="62"/>
        <item x="322"/>
        <item x="531"/>
        <item x="862"/>
        <item x="372"/>
        <item x="78"/>
        <item x="563"/>
        <item x="473"/>
        <item x="566"/>
        <item x="40"/>
        <item x="507"/>
        <item x="483"/>
        <item x="603"/>
        <item x="816"/>
        <item x="51"/>
        <item x="852"/>
        <item x="562"/>
        <item x="717"/>
        <item x="982"/>
        <item x="635"/>
        <item x="987"/>
        <item x="95"/>
        <item x="91"/>
        <item x="409"/>
        <item x="59"/>
        <item x="655"/>
        <item x="131"/>
        <item x="118"/>
        <item x="171"/>
        <item x="301"/>
        <item x="248"/>
        <item x="356"/>
        <item x="325"/>
        <item x="736"/>
        <item x="831"/>
        <item x="792"/>
        <item x="281"/>
        <item x="9"/>
        <item x="57"/>
        <item x="179"/>
        <item x="353"/>
        <item x="56"/>
        <item x="505"/>
        <item x="319"/>
        <item x="881"/>
        <item x="203"/>
        <item x="598"/>
        <item x="222"/>
        <item x="441"/>
        <item x="185"/>
        <item x="848"/>
        <item x="541"/>
        <item x="986"/>
        <item x="609"/>
        <item x="27"/>
        <item x="593"/>
        <item x="442"/>
        <item x="839"/>
        <item x="318"/>
        <item x="834"/>
        <item x="415"/>
        <item x="668"/>
        <item x="315"/>
        <item x="560"/>
        <item x="584"/>
        <item x="158"/>
        <item x="725"/>
        <item x="540"/>
        <item x="400"/>
        <item x="618"/>
        <item x="576"/>
        <item x="903"/>
        <item x="93"/>
        <item x="911"/>
        <item x="542"/>
        <item x="673"/>
        <item x="589"/>
        <item x="878"/>
        <item x="491"/>
        <item x="686"/>
        <item x="406"/>
        <item x="260"/>
        <item x="221"/>
        <item x="478"/>
        <item x="935"/>
        <item x="7"/>
        <item x="739"/>
        <item x="976"/>
        <item x="546"/>
        <item x="992"/>
        <item x="383"/>
        <item x="731"/>
        <item x="125"/>
        <item x="431"/>
        <item x="287"/>
        <item x="64"/>
        <item x="139"/>
        <item x="547"/>
        <item x="597"/>
        <item x="306"/>
        <item x="331"/>
        <item x="607"/>
        <item x="888"/>
        <item x="843"/>
        <item x="487"/>
        <item x="527"/>
        <item x="464"/>
        <item x="154"/>
        <item x="144"/>
        <item x="343"/>
        <item x="496"/>
        <item x="750"/>
        <item x="877"/>
        <item x="410"/>
        <item x="883"/>
        <item x="753"/>
        <item x="395"/>
        <item x="312"/>
        <item x="48"/>
        <item x="776"/>
        <item x="891"/>
        <item x="460"/>
        <item x="508"/>
        <item x="80"/>
        <item x="970"/>
        <item x="419"/>
        <item x="89"/>
        <item x="161"/>
        <item x="742"/>
        <item x="695"/>
        <item x="526"/>
        <item x="602"/>
        <item x="616"/>
        <item x="47"/>
        <item x="420"/>
        <item x="217"/>
        <item x="868"/>
        <item x="641"/>
        <item x="199"/>
        <item x="86"/>
        <item x="545"/>
        <item x="633"/>
        <item x="226"/>
        <item x="283"/>
        <item t="default"/>
      </items>
    </pivotField>
    <pivotField dataField="1" showAll="0">
      <items count="32">
        <item x="8"/>
        <item x="2"/>
        <item x="18"/>
        <item x="12"/>
        <item x="29"/>
        <item x="4"/>
        <item x="11"/>
        <item x="13"/>
        <item x="14"/>
        <item x="25"/>
        <item x="20"/>
        <item x="1"/>
        <item x="22"/>
        <item x="6"/>
        <item x="3"/>
        <item x="27"/>
        <item x="16"/>
        <item x="7"/>
        <item x="23"/>
        <item x="19"/>
        <item x="21"/>
        <item x="24"/>
        <item x="28"/>
        <item x="0"/>
        <item x="9"/>
        <item x="15"/>
        <item x="10"/>
        <item x="17"/>
        <item x="5"/>
        <item x="26"/>
        <item x="30"/>
        <item t="default"/>
      </items>
    </pivotField>
    <pivotField dataField="1" showAll="0">
      <items count="991">
        <item x="198"/>
        <item x="870"/>
        <item x="836"/>
        <item x="749"/>
        <item x="729"/>
        <item x="408"/>
        <item x="221"/>
        <item x="671"/>
        <item x="545"/>
        <item x="178"/>
        <item x="407"/>
        <item x="808"/>
        <item x="337"/>
        <item x="439"/>
        <item x="139"/>
        <item x="543"/>
        <item x="525"/>
        <item x="666"/>
        <item x="418"/>
        <item x="538"/>
        <item x="163"/>
        <item x="125"/>
        <item x="955"/>
        <item x="979"/>
        <item x="574"/>
        <item x="131"/>
        <item x="420"/>
        <item x="317"/>
        <item x="723"/>
        <item x="323"/>
        <item x="202"/>
        <item x="877"/>
        <item x="767"/>
        <item x="933"/>
        <item x="380"/>
        <item x="216"/>
        <item x="56"/>
        <item x="657"/>
        <item x="154"/>
        <item x="882"/>
        <item x="467"/>
        <item x="970"/>
        <item x="903"/>
        <item x="695"/>
        <item x="984"/>
        <item x="773"/>
        <item x="252"/>
        <item x="556"/>
        <item x="591"/>
        <item x="215"/>
        <item x="693"/>
        <item x="414"/>
        <item x="786"/>
        <item x="393"/>
        <item x="274"/>
        <item x="149"/>
        <item x="942"/>
        <item x="809"/>
        <item x="94"/>
        <item x="399"/>
        <item x="539"/>
        <item x="57"/>
        <item x="226"/>
        <item x="519"/>
        <item x="682"/>
        <item x="868"/>
        <item x="297"/>
        <item x="204"/>
        <item x="232"/>
        <item x="37"/>
        <item x="40"/>
        <item x="329"/>
        <item x="189"/>
        <item x="845"/>
        <item x="820"/>
        <item x="184"/>
        <item x="79"/>
        <item x="160"/>
        <item x="673"/>
        <item x="605"/>
        <item x="536"/>
        <item x="607"/>
        <item x="561"/>
        <item x="309"/>
        <item x="813"/>
        <item x="176"/>
        <item x="62"/>
        <item x="653"/>
        <item x="704"/>
        <item x="64"/>
        <item x="951"/>
        <item x="197"/>
        <item x="883"/>
        <item x="619"/>
        <item x="700"/>
        <item x="145"/>
        <item x="743"/>
        <item x="551"/>
        <item x="48"/>
        <item x="827"/>
        <item x="13"/>
        <item x="509"/>
        <item x="922"/>
        <item x="960"/>
        <item x="864"/>
        <item x="445"/>
        <item x="195"/>
        <item x="68"/>
        <item x="469"/>
        <item x="886"/>
        <item x="854"/>
        <item x="479"/>
        <item x="9"/>
        <item x="133"/>
        <item x="466"/>
        <item x="872"/>
        <item x="504"/>
        <item x="555"/>
        <item x="680"/>
        <item x="510"/>
        <item x="627"/>
        <item x="489"/>
        <item x="645"/>
        <item x="895"/>
        <item x="508"/>
        <item x="126"/>
        <item x="579"/>
        <item x="326"/>
        <item x="651"/>
        <item x="356"/>
        <item x="975"/>
        <item x="734"/>
        <item x="69"/>
        <item x="896"/>
        <item x="255"/>
        <item x="315"/>
        <item x="566"/>
        <item x="159"/>
        <item x="106"/>
        <item x="818"/>
        <item x="795"/>
        <item x="474"/>
        <item x="860"/>
        <item x="270"/>
        <item x="705"/>
        <item x="438"/>
        <item x="595"/>
        <item x="963"/>
        <item x="676"/>
        <item x="646"/>
        <item x="985"/>
        <item x="462"/>
        <item x="688"/>
        <item x="928"/>
        <item x="819"/>
        <item x="218"/>
        <item x="615"/>
        <item x="849"/>
        <item x="269"/>
        <item x="793"/>
        <item x="533"/>
        <item x="601"/>
        <item x="371"/>
        <item x="550"/>
        <item x="674"/>
        <item x="945"/>
        <item x="150"/>
        <item x="798"/>
        <item x="272"/>
        <item x="603"/>
        <item x="403"/>
        <item x="612"/>
        <item x="464"/>
        <item x="27"/>
        <item x="322"/>
        <item x="34"/>
        <item x="559"/>
        <item x="110"/>
        <item x="192"/>
        <item x="278"/>
        <item x="661"/>
        <item x="75"/>
        <item x="312"/>
        <item x="203"/>
        <item x="421"/>
        <item x="598"/>
        <item x="396"/>
        <item x="231"/>
        <item x="880"/>
        <item x="454"/>
        <item x="294"/>
        <item x="483"/>
        <item x="41"/>
        <item x="440"/>
        <item x="11"/>
        <item x="677"/>
        <item x="339"/>
        <item x="167"/>
        <item x="718"/>
        <item x="863"/>
        <item x="351"/>
        <item x="750"/>
        <item x="724"/>
        <item x="101"/>
        <item x="969"/>
        <item x="143"/>
        <item x="346"/>
        <item x="814"/>
        <item x="697"/>
        <item x="730"/>
        <item x="696"/>
        <item x="67"/>
        <item x="348"/>
        <item x="838"/>
        <item x="382"/>
        <item x="755"/>
        <item x="39"/>
        <item x="641"/>
        <item x="740"/>
        <item x="283"/>
        <item x="972"/>
        <item x="781"/>
        <item x="564"/>
        <item x="260"/>
        <item x="460"/>
        <item x="974"/>
        <item x="810"/>
        <item x="310"/>
        <item x="179"/>
        <item x="964"/>
        <item x="520"/>
        <item x="379"/>
        <item x="118"/>
        <item x="978"/>
        <item x="893"/>
        <item x="497"/>
        <item x="74"/>
        <item x="962"/>
        <item x="649"/>
        <item x="201"/>
        <item x="594"/>
        <item x="388"/>
        <item x="0"/>
        <item x="899"/>
        <item x="782"/>
        <item x="548"/>
        <item x="917"/>
        <item x="5"/>
        <item x="823"/>
        <item x="51"/>
        <item x="433"/>
        <item x="331"/>
        <item x="123"/>
        <item x="727"/>
        <item x="535"/>
        <item x="8"/>
        <item x="247"/>
        <item x="576"/>
        <item x="973"/>
        <item x="222"/>
        <item x="629"/>
        <item x="289"/>
        <item x="816"/>
        <item x="46"/>
        <item x="530"/>
        <item x="848"/>
        <item x="471"/>
        <item x="24"/>
        <item x="908"/>
        <item x="506"/>
        <item x="72"/>
        <item x="832"/>
        <item x="709"/>
        <item x="196"/>
        <item x="711"/>
        <item x="298"/>
        <item x="428"/>
        <item x="259"/>
        <item x="624"/>
        <item x="387"/>
        <item x="801"/>
        <item x="140"/>
        <item x="354"/>
        <item x="780"/>
        <item x="116"/>
        <item x="451"/>
        <item x="568"/>
        <item x="401"/>
        <item x="694"/>
        <item x="84"/>
        <item x="237"/>
        <item x="208"/>
        <item x="514"/>
        <item x="534"/>
        <item x="897"/>
        <item x="136"/>
        <item x="785"/>
        <item x="245"/>
        <item x="986"/>
        <item x="562"/>
        <item x="839"/>
        <item x="791"/>
        <item x="249"/>
        <item x="967"/>
        <item x="707"/>
        <item x="638"/>
        <item x="662"/>
        <item x="21"/>
        <item x="395"/>
        <item x="60"/>
        <item x="156"/>
        <item x="120"/>
        <item x="815"/>
        <item x="796"/>
        <item x="907"/>
        <item x="6"/>
        <item x="521"/>
        <item x="685"/>
        <item x="486"/>
        <item x="230"/>
        <item x="522"/>
        <item x="946"/>
        <item x="512"/>
        <item x="264"/>
        <item x="572"/>
        <item x="318"/>
        <item x="842"/>
        <item x="470"/>
        <item x="901"/>
        <item x="288"/>
        <item x="104"/>
        <item x="948"/>
        <item x="650"/>
        <item x="921"/>
        <item x="385"/>
        <item x="492"/>
        <item x="410"/>
        <item x="345"/>
        <item x="981"/>
        <item x="499"/>
        <item x="914"/>
        <item x="748"/>
        <item x="915"/>
        <item x="180"/>
        <item x="713"/>
        <item x="577"/>
        <item x="171"/>
        <item x="879"/>
        <item x="822"/>
        <item x="639"/>
        <item x="463"/>
        <item x="957"/>
        <item x="732"/>
        <item x="787"/>
        <item x="875"/>
        <item x="623"/>
        <item x="223"/>
        <item x="498"/>
        <item x="597"/>
        <item x="441"/>
        <item x="622"/>
        <item x="701"/>
        <item x="910"/>
        <item x="98"/>
        <item x="741"/>
        <item x="271"/>
        <item x="115"/>
        <item x="96"/>
        <item x="754"/>
        <item x="455"/>
        <item x="50"/>
        <item x="779"/>
        <item x="802"/>
        <item x="683"/>
        <item x="83"/>
        <item x="717"/>
        <item x="588"/>
        <item x="721"/>
        <item x="432"/>
        <item x="456"/>
        <item x="76"/>
        <item x="157"/>
        <item x="384"/>
        <item x="888"/>
        <item x="977"/>
        <item x="502"/>
        <item x="920"/>
        <item x="756"/>
        <item x="276"/>
        <item x="32"/>
        <item x="669"/>
        <item x="193"/>
        <item x="424"/>
        <item x="792"/>
        <item x="181"/>
        <item x="902"/>
        <item x="958"/>
        <item x="344"/>
        <item x="174"/>
        <item x="625"/>
        <item x="799"/>
        <item x="911"/>
        <item x="800"/>
        <item x="655"/>
        <item x="664"/>
        <item x="238"/>
        <item x="442"/>
        <item x="65"/>
        <item x="342"/>
        <item x="592"/>
        <item x="874"/>
        <item x="746"/>
        <item x="358"/>
        <item x="687"/>
        <item x="788"/>
        <item x="254"/>
        <item x="857"/>
        <item x="25"/>
        <item x="85"/>
        <item x="840"/>
        <item x="374"/>
        <item x="18"/>
        <item x="431"/>
        <item x="935"/>
        <item x="929"/>
        <item x="708"/>
        <item x="606"/>
        <item x="488"/>
        <item x="850"/>
        <item x="305"/>
        <item x="580"/>
        <item x="172"/>
        <item x="821"/>
        <item x="416"/>
        <item x="265"/>
        <item x="496"/>
        <item x="692"/>
        <item x="426"/>
        <item x="851"/>
        <item x="847"/>
        <item x="570"/>
        <item x="308"/>
        <item x="881"/>
        <item x="465"/>
        <item x="518"/>
        <item x="906"/>
        <item x="49"/>
        <item x="777"/>
        <item x="475"/>
        <item x="366"/>
        <item x="369"/>
        <item x="934"/>
        <item x="44"/>
        <item x="190"/>
        <item x="90"/>
        <item x="797"/>
        <item x="119"/>
        <item x="19"/>
        <item x="402"/>
        <item x="547"/>
        <item x="526"/>
        <item x="349"/>
        <item x="759"/>
        <item x="640"/>
        <item x="461"/>
        <item x="253"/>
        <item x="42"/>
        <item x="937"/>
        <item x="415"/>
        <item x="480"/>
        <item x="762"/>
        <item x="828"/>
        <item x="36"/>
        <item x="656"/>
        <item x="670"/>
        <item x="618"/>
        <item x="943"/>
        <item x="611"/>
        <item x="199"/>
        <item x="760"/>
        <item x="16"/>
        <item x="643"/>
        <item x="182"/>
        <item x="357"/>
        <item x="829"/>
        <item x="812"/>
        <item x="81"/>
        <item x="10"/>
        <item x="165"/>
        <item x="449"/>
        <item x="690"/>
        <item x="137"/>
        <item x="151"/>
        <item x="148"/>
        <item x="244"/>
        <item x="261"/>
        <item x="321"/>
        <item x="563"/>
        <item x="325"/>
        <item x="636"/>
        <item x="314"/>
        <item x="482"/>
        <item x="207"/>
        <item x="944"/>
        <item x="236"/>
        <item x="644"/>
        <item x="988"/>
        <item x="770"/>
        <item x="912"/>
        <item x="307"/>
        <item x="390"/>
        <item x="129"/>
        <item x="472"/>
        <item x="33"/>
        <item x="43"/>
        <item x="714"/>
        <item x="353"/>
        <item x="3"/>
        <item x="334"/>
        <item x="332"/>
        <item x="586"/>
        <item x="444"/>
        <item x="789"/>
        <item x="846"/>
        <item x="585"/>
        <item x="931"/>
        <item x="134"/>
        <item x="672"/>
        <item x="620"/>
        <item x="186"/>
        <item x="904"/>
        <item x="678"/>
        <item x="878"/>
        <item x="541"/>
        <item x="194"/>
        <item x="589"/>
        <item x="936"/>
        <item x="890"/>
        <item x="378"/>
        <item x="738"/>
        <item x="343"/>
        <item x="263"/>
        <item x="477"/>
        <item x="468"/>
        <item x="648"/>
        <item x="490"/>
        <item x="961"/>
        <item x="609"/>
        <item x="783"/>
        <item x="766"/>
        <item x="114"/>
        <item x="859"/>
        <item x="234"/>
        <item x="956"/>
        <item x="436"/>
        <item x="147"/>
        <item x="97"/>
        <item x="45"/>
        <item x="70"/>
        <item x="898"/>
        <item x="675"/>
        <item x="930"/>
        <item x="183"/>
        <item x="918"/>
        <item x="658"/>
        <item x="376"/>
        <item x="869"/>
        <item x="501"/>
        <item x="386"/>
        <item x="905"/>
        <item x="834"/>
        <item x="523"/>
        <item x="537"/>
        <item x="941"/>
        <item x="162"/>
        <item x="102"/>
        <item x="728"/>
        <item x="804"/>
        <item x="187"/>
        <item x="185"/>
        <item x="794"/>
        <item x="228"/>
        <item x="152"/>
        <item x="117"/>
        <item x="866"/>
        <item x="950"/>
        <item x="966"/>
        <item x="100"/>
        <item x="491"/>
        <item x="273"/>
        <item x="938"/>
        <item x="38"/>
        <item x="141"/>
        <item x="391"/>
        <item x="634"/>
        <item x="124"/>
        <item x="817"/>
        <item x="23"/>
        <item x="58"/>
        <item x="726"/>
        <item x="161"/>
        <item x="833"/>
        <item x="248"/>
        <item x="103"/>
        <item x="277"/>
        <item x="233"/>
        <item x="965"/>
        <item x="360"/>
        <item x="406"/>
        <item x="55"/>
        <item x="635"/>
        <item x="397"/>
        <item x="336"/>
        <item x="939"/>
        <item x="128"/>
        <item x="446"/>
        <item x="691"/>
        <item x="71"/>
        <item x="168"/>
        <item x="891"/>
        <item x="952"/>
        <item x="947"/>
        <item x="257"/>
        <item x="122"/>
        <item x="365"/>
        <item x="235"/>
        <item x="153"/>
        <item x="659"/>
        <item x="980"/>
        <item x="758"/>
        <item x="983"/>
        <item x="447"/>
        <item x="87"/>
        <item x="546"/>
        <item x="430"/>
        <item x="169"/>
        <item x="132"/>
        <item x="843"/>
        <item x="511"/>
        <item x="987"/>
        <item x="865"/>
        <item x="306"/>
        <item x="434"/>
        <item x="359"/>
        <item x="112"/>
        <item x="628"/>
        <item x="867"/>
        <item x="130"/>
        <item x="923"/>
        <item x="916"/>
        <item x="971"/>
        <item x="335"/>
        <item x="459"/>
        <item x="858"/>
        <item x="806"/>
        <item x="581"/>
        <item x="853"/>
        <item x="913"/>
        <item x="355"/>
        <item x="784"/>
        <item x="427"/>
        <item x="425"/>
        <item x="571"/>
        <item x="887"/>
        <item x="377"/>
        <item x="493"/>
        <item x="553"/>
        <item x="367"/>
        <item x="642"/>
        <item x="105"/>
        <item x="108"/>
        <item x="735"/>
        <item x="602"/>
        <item x="240"/>
        <item x="268"/>
        <item x="220"/>
        <item x="213"/>
        <item x="744"/>
        <item x="188"/>
        <item x="731"/>
        <item x="242"/>
        <item x="287"/>
        <item x="703"/>
        <item x="982"/>
        <item x="764"/>
        <item x="584"/>
        <item x="856"/>
        <item x="111"/>
        <item x="667"/>
        <item x="831"/>
        <item x="243"/>
        <item x="266"/>
        <item x="158"/>
        <item x="892"/>
        <item x="212"/>
        <item x="925"/>
        <item x="1"/>
        <item x="435"/>
        <item x="347"/>
        <item x="324"/>
        <item x="742"/>
        <item x="593"/>
        <item x="932"/>
        <item x="28"/>
        <item x="774"/>
        <item x="2"/>
        <item x="82"/>
        <item x="805"/>
        <item x="654"/>
        <item x="170"/>
        <item x="894"/>
        <item x="368"/>
        <item x="776"/>
        <item x="30"/>
        <item x="473"/>
        <item x="803"/>
        <item x="716"/>
        <item x="702"/>
        <item x="352"/>
        <item x="77"/>
        <item x="660"/>
        <item x="398"/>
        <item x="361"/>
        <item x="246"/>
        <item x="448"/>
        <item x="256"/>
        <item x="807"/>
        <item x="924"/>
        <item x="765"/>
        <item x="710"/>
        <item x="200"/>
        <item x="686"/>
        <item x="531"/>
        <item x="567"/>
        <item x="301"/>
        <item x="757"/>
        <item x="927"/>
        <item x="889"/>
        <item x="712"/>
        <item x="768"/>
        <item x="155"/>
        <item x="26"/>
        <item x="412"/>
        <item x="12"/>
        <item x="175"/>
        <item x="107"/>
        <item x="217"/>
        <item x="769"/>
        <item x="565"/>
        <item x="706"/>
        <item x="560"/>
        <item x="340"/>
        <item x="73"/>
        <item x="811"/>
        <item x="862"/>
        <item x="745"/>
        <item x="608"/>
        <item x="373"/>
        <item x="569"/>
        <item x="394"/>
        <item x="419"/>
        <item x="826"/>
        <item x="422"/>
        <item x="258"/>
        <item x="825"/>
        <item x="968"/>
        <item x="138"/>
        <item x="267"/>
        <item x="17"/>
        <item x="241"/>
        <item x="763"/>
        <item x="327"/>
        <item x="275"/>
        <item x="549"/>
        <item x="22"/>
        <item x="626"/>
        <item x="542"/>
        <item x="284"/>
        <item x="210"/>
        <item x="752"/>
        <item x="478"/>
        <item x="450"/>
        <item x="720"/>
        <item x="753"/>
        <item x="698"/>
        <item x="554"/>
        <item x="31"/>
        <item x="364"/>
        <item x="652"/>
        <item x="113"/>
        <item x="900"/>
        <item x="4"/>
        <item x="885"/>
        <item x="292"/>
        <item x="599"/>
        <item x="771"/>
        <item x="363"/>
        <item x="719"/>
        <item x="109"/>
        <item x="279"/>
        <item x="632"/>
        <item x="127"/>
        <item x="668"/>
        <item x="20"/>
        <item x="66"/>
        <item x="876"/>
        <item x="505"/>
        <item x="53"/>
        <item x="211"/>
        <item x="291"/>
        <item x="573"/>
        <item x="164"/>
        <item x="790"/>
        <item x="613"/>
        <item x="989"/>
        <item x="575"/>
        <item x="517"/>
        <item x="177"/>
        <item x="663"/>
        <item x="219"/>
        <item x="142"/>
        <item x="578"/>
        <item x="457"/>
        <item x="214"/>
        <item x="405"/>
        <item x="557"/>
        <item x="959"/>
        <item x="630"/>
        <item x="429"/>
        <item x="583"/>
        <item x="88"/>
        <item x="830"/>
        <item x="527"/>
        <item x="302"/>
        <item x="251"/>
        <item x="166"/>
        <item x="239"/>
        <item x="837"/>
        <item x="52"/>
        <item x="338"/>
        <item x="443"/>
        <item x="206"/>
        <item x="144"/>
        <item x="95"/>
        <item x="409"/>
        <item x="80"/>
        <item x="293"/>
        <item x="940"/>
        <item x="121"/>
        <item x="224"/>
        <item x="383"/>
        <item x="949"/>
        <item x="250"/>
        <item x="135"/>
        <item x="590"/>
        <item x="884"/>
        <item x="733"/>
        <item x="229"/>
        <item x="191"/>
        <item x="89"/>
        <item x="852"/>
        <item x="647"/>
        <item x="953"/>
        <item x="452"/>
        <item x="91"/>
        <item x="689"/>
        <item x="722"/>
        <item x="919"/>
        <item x="778"/>
        <item x="285"/>
        <item x="487"/>
        <item x="99"/>
        <item x="617"/>
        <item x="423"/>
        <item x="976"/>
        <item x="372"/>
        <item x="14"/>
        <item x="679"/>
        <item x="736"/>
        <item x="411"/>
        <item x="290"/>
        <item x="604"/>
        <item x="610"/>
        <item x="63"/>
        <item x="35"/>
        <item x="320"/>
        <item x="173"/>
        <item x="225"/>
        <item x="621"/>
        <item x="350"/>
        <item x="319"/>
        <item x="375"/>
        <item x="15"/>
        <item x="330"/>
        <item x="92"/>
        <item x="296"/>
        <item x="844"/>
        <item x="47"/>
        <item x="725"/>
        <item x="503"/>
        <item x="205"/>
        <item x="400"/>
        <item x="61"/>
        <item x="299"/>
        <item x="515"/>
        <item x="835"/>
        <item x="681"/>
        <item x="582"/>
        <item x="389"/>
        <item x="227"/>
        <item x="631"/>
        <item x="392"/>
        <item x="739"/>
        <item x="528"/>
        <item x="873"/>
        <item x="303"/>
        <item x="926"/>
        <item x="93"/>
        <item x="495"/>
        <item x="841"/>
        <item x="516"/>
        <item x="209"/>
        <item x="513"/>
        <item x="494"/>
        <item x="699"/>
        <item x="775"/>
        <item x="328"/>
        <item x="280"/>
        <item x="7"/>
        <item x="300"/>
        <item x="751"/>
        <item x="295"/>
        <item x="453"/>
        <item x="316"/>
        <item x="485"/>
        <item x="146"/>
        <item x="262"/>
        <item x="761"/>
        <item x="484"/>
        <item x="637"/>
        <item x="532"/>
        <item x="458"/>
        <item x="437"/>
        <item x="587"/>
        <item x="333"/>
        <item x="715"/>
        <item x="665"/>
        <item x="772"/>
        <item x="404"/>
        <item x="362"/>
        <item x="313"/>
        <item x="417"/>
        <item x="737"/>
        <item x="596"/>
        <item x="507"/>
        <item x="500"/>
        <item x="481"/>
        <item x="529"/>
        <item x="747"/>
        <item x="540"/>
        <item x="413"/>
        <item x="633"/>
        <item x="600"/>
        <item x="871"/>
        <item x="954"/>
        <item x="86"/>
        <item x="311"/>
        <item x="552"/>
        <item x="909"/>
        <item x="370"/>
        <item x="281"/>
        <item x="29"/>
        <item x="286"/>
        <item x="341"/>
        <item x="54"/>
        <item x="855"/>
        <item x="304"/>
        <item x="684"/>
        <item x="282"/>
        <item x="544"/>
        <item x="558"/>
        <item x="59"/>
        <item x="824"/>
        <item x="78"/>
        <item x="616"/>
        <item x="381"/>
        <item x="476"/>
        <item x="524"/>
        <item x="614"/>
        <item x="86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dragToRow="0" dragToCol="0" dragToPage="0"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Sales" fld="8" baseField="0" baseItem="0"/>
    <dataField name="Sum of Profit" fld="10" baseField="0" baseItem="0"/>
    <dataField name="Count of Order ID" fld="1" subtotal="count" baseField="0" baseItem="0"/>
    <dataField name="Average of Discount (%)" fld="9" subtotal="average" baseField="0" baseItem="0" numFmtId="1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useAutoFormatting="1" createdVersion="5" indent="0" outline="1" outlineData="1" multipleFieldFilters="0">
  <location ref="A3:C8" firstHeaderRow="1" firstDataRow="2" firstDataCol="1"/>
  <pivotFields count="13">
    <pivotField showAll="0">
      <items count="346">
        <item x="105"/>
        <item x="338"/>
        <item x="18"/>
        <item x="76"/>
        <item x="330"/>
        <item x="74"/>
        <item x="178"/>
        <item x="126"/>
        <item x="58"/>
        <item x="4"/>
        <item x="65"/>
        <item x="341"/>
        <item x="302"/>
        <item x="34"/>
        <item x="343"/>
        <item x="185"/>
        <item x="223"/>
        <item x="193"/>
        <item x="204"/>
        <item x="257"/>
        <item x="219"/>
        <item x="3"/>
        <item x="148"/>
        <item x="87"/>
        <item x="320"/>
        <item x="268"/>
        <item x="234"/>
        <item x="269"/>
        <item x="129"/>
        <item x="82"/>
        <item x="188"/>
        <item x="315"/>
        <item x="267"/>
        <item x="303"/>
        <item x="13"/>
        <item x="248"/>
        <item x="66"/>
        <item x="339"/>
        <item x="260"/>
        <item x="64"/>
        <item x="336"/>
        <item x="145"/>
        <item x="277"/>
        <item x="259"/>
        <item x="293"/>
        <item x="155"/>
        <item x="309"/>
        <item x="107"/>
        <item x="300"/>
        <item x="203"/>
        <item x="217"/>
        <item x="140"/>
        <item x="40"/>
        <item x="229"/>
        <item x="75"/>
        <item x="122"/>
        <item x="136"/>
        <item x="88"/>
        <item x="10"/>
        <item x="221"/>
        <item x="61"/>
        <item x="2"/>
        <item x="89"/>
        <item x="95"/>
        <item x="109"/>
        <item x="276"/>
        <item x="270"/>
        <item x="295"/>
        <item x="25"/>
        <item x="243"/>
        <item x="85"/>
        <item x="319"/>
        <item x="340"/>
        <item x="104"/>
        <item x="247"/>
        <item x="106"/>
        <item x="79"/>
        <item x="205"/>
        <item x="44"/>
        <item x="131"/>
        <item x="67"/>
        <item x="141"/>
        <item x="90"/>
        <item x="152"/>
        <item x="179"/>
        <item x="266"/>
        <item x="180"/>
        <item x="146"/>
        <item x="218"/>
        <item x="227"/>
        <item x="177"/>
        <item x="1"/>
        <item x="118"/>
        <item x="160"/>
        <item x="133"/>
        <item x="47"/>
        <item x="69"/>
        <item x="35"/>
        <item x="162"/>
        <item x="53"/>
        <item x="144"/>
        <item x="195"/>
        <item x="115"/>
        <item x="235"/>
        <item x="190"/>
        <item x="189"/>
        <item x="121"/>
        <item x="5"/>
        <item x="289"/>
        <item x="167"/>
        <item x="28"/>
        <item x="209"/>
        <item x="181"/>
        <item x="124"/>
        <item x="329"/>
        <item x="249"/>
        <item x="17"/>
        <item x="83"/>
        <item x="15"/>
        <item x="286"/>
        <item x="186"/>
        <item x="246"/>
        <item x="200"/>
        <item x="24"/>
        <item x="326"/>
        <item x="253"/>
        <item x="93"/>
        <item x="55"/>
        <item x="114"/>
        <item x="112"/>
        <item x="280"/>
        <item x="241"/>
        <item x="308"/>
        <item x="134"/>
        <item x="108"/>
        <item x="211"/>
        <item x="135"/>
        <item x="333"/>
        <item x="175"/>
        <item x="331"/>
        <item x="168"/>
        <item x="37"/>
        <item x="201"/>
        <item x="127"/>
        <item x="29"/>
        <item x="291"/>
        <item x="33"/>
        <item x="27"/>
        <item x="94"/>
        <item x="60"/>
        <item x="306"/>
        <item x="30"/>
        <item x="287"/>
        <item x="213"/>
        <item x="103"/>
        <item x="198"/>
        <item x="153"/>
        <item x="322"/>
        <item x="196"/>
        <item x="210"/>
        <item x="342"/>
        <item x="239"/>
        <item x="137"/>
        <item x="59"/>
        <item x="176"/>
        <item x="54"/>
        <item x="194"/>
        <item x="9"/>
        <item x="251"/>
        <item x="143"/>
        <item x="128"/>
        <item x="318"/>
        <item x="22"/>
        <item x="68"/>
        <item x="78"/>
        <item x="150"/>
        <item x="301"/>
        <item x="130"/>
        <item x="307"/>
        <item x="207"/>
        <item x="165"/>
        <item x="335"/>
        <item x="20"/>
        <item x="147"/>
        <item x="123"/>
        <item x="278"/>
        <item x="172"/>
        <item x="310"/>
        <item x="323"/>
        <item x="245"/>
        <item x="283"/>
        <item x="298"/>
        <item x="237"/>
        <item x="57"/>
        <item x="202"/>
        <item x="312"/>
        <item x="261"/>
        <item x="183"/>
        <item x="274"/>
        <item x="174"/>
        <item x="14"/>
        <item x="233"/>
        <item x="254"/>
        <item x="199"/>
        <item x="224"/>
        <item x="139"/>
        <item x="72"/>
        <item x="232"/>
        <item x="252"/>
        <item x="282"/>
        <item x="6"/>
        <item x="244"/>
        <item x="258"/>
        <item x="314"/>
        <item x="31"/>
        <item x="187"/>
        <item x="272"/>
        <item x="111"/>
        <item x="220"/>
        <item x="225"/>
        <item x="16"/>
        <item x="265"/>
        <item x="48"/>
        <item x="216"/>
        <item x="305"/>
        <item x="42"/>
        <item x="197"/>
        <item x="344"/>
        <item x="275"/>
        <item x="288"/>
        <item x="285"/>
        <item x="324"/>
        <item x="191"/>
        <item x="26"/>
        <item x="119"/>
        <item x="290"/>
        <item x="62"/>
        <item x="98"/>
        <item x="101"/>
        <item x="81"/>
        <item x="19"/>
        <item x="71"/>
        <item x="256"/>
        <item x="215"/>
        <item x="231"/>
        <item x="161"/>
        <item x="120"/>
        <item x="296"/>
        <item x="97"/>
        <item x="46"/>
        <item x="23"/>
        <item x="41"/>
        <item x="264"/>
        <item x="157"/>
        <item x="159"/>
        <item x="102"/>
        <item x="96"/>
        <item x="294"/>
        <item x="325"/>
        <item x="86"/>
        <item x="151"/>
        <item x="110"/>
        <item x="154"/>
        <item x="52"/>
        <item x="38"/>
        <item x="56"/>
        <item x="91"/>
        <item x="337"/>
        <item x="208"/>
        <item x="77"/>
        <item x="39"/>
        <item x="158"/>
        <item x="45"/>
        <item x="240"/>
        <item x="142"/>
        <item x="0"/>
        <item x="49"/>
        <item x="304"/>
        <item x="279"/>
        <item x="43"/>
        <item x="50"/>
        <item x="299"/>
        <item x="36"/>
        <item x="184"/>
        <item x="182"/>
        <item x="230"/>
        <item x="332"/>
        <item x="226"/>
        <item x="214"/>
        <item x="116"/>
        <item x="138"/>
        <item x="117"/>
        <item x="262"/>
        <item x="273"/>
        <item x="292"/>
        <item x="192"/>
        <item x="164"/>
        <item x="321"/>
        <item x="334"/>
        <item x="236"/>
        <item x="113"/>
        <item x="132"/>
        <item x="317"/>
        <item x="311"/>
        <item x="263"/>
        <item x="70"/>
        <item x="242"/>
        <item x="100"/>
        <item x="32"/>
        <item x="173"/>
        <item x="297"/>
        <item x="281"/>
        <item x="206"/>
        <item x="149"/>
        <item x="284"/>
        <item x="51"/>
        <item x="84"/>
        <item x="171"/>
        <item x="125"/>
        <item x="99"/>
        <item x="92"/>
        <item x="170"/>
        <item x="7"/>
        <item x="169"/>
        <item x="250"/>
        <item x="80"/>
        <item x="8"/>
        <item x="327"/>
        <item x="238"/>
        <item x="313"/>
        <item x="228"/>
        <item x="163"/>
        <item x="316"/>
        <item x="212"/>
        <item x="156"/>
        <item x="11"/>
        <item x="271"/>
        <item x="63"/>
        <item x="328"/>
        <item x="21"/>
        <item x="73"/>
        <item x="222"/>
        <item x="166"/>
        <item x="255"/>
        <item x="12"/>
        <item t="default"/>
      </items>
    </pivotField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21">
        <item x="0"/>
        <item x="9"/>
        <item x="10"/>
        <item x="12"/>
        <item x="7"/>
        <item x="2"/>
        <item x="6"/>
        <item x="5"/>
        <item x="3"/>
        <item x="14"/>
        <item x="8"/>
        <item x="4"/>
        <item x="13"/>
        <item x="19"/>
        <item x="11"/>
        <item x="16"/>
        <item x="15"/>
        <item x="18"/>
        <item x="17"/>
        <item x="1"/>
        <item t="default"/>
      </items>
    </pivotField>
    <pivotField showAll="0">
      <items count="988">
        <item x="332"/>
        <item x="245"/>
        <item x="643"/>
        <item x="357"/>
        <item x="618"/>
        <item x="10"/>
        <item x="432"/>
        <item x="738"/>
        <item x="187"/>
        <item x="886"/>
        <item x="658"/>
        <item x="208"/>
        <item x="43"/>
        <item x="977"/>
        <item x="767"/>
        <item x="397"/>
        <item x="55"/>
        <item x="249"/>
        <item x="358"/>
        <item x="168"/>
        <item x="129"/>
        <item x="690"/>
        <item x="664"/>
        <item x="936"/>
        <item x="585"/>
        <item x="430"/>
        <item x="391"/>
        <item x="349"/>
        <item x="455"/>
        <item x="147"/>
        <item x="84"/>
        <item x="896"/>
        <item x="511"/>
        <item x="908"/>
        <item x="588"/>
        <item x="416"/>
        <item x="938"/>
        <item x="915"/>
        <item x="36"/>
        <item x="374"/>
        <item x="932"/>
        <item x="19"/>
        <item x="502"/>
        <item x="857"/>
        <item x="436"/>
        <item x="716"/>
        <item x="902"/>
        <item x="834"/>
        <item x="918"/>
        <item x="132"/>
        <item x="287"/>
        <item x="714"/>
        <item x="165"/>
        <item x="58"/>
        <item x="153"/>
        <item x="188"/>
        <item x="967"/>
        <item x="913"/>
        <item x="572"/>
        <item x="735"/>
        <item x="267"/>
        <item x="90"/>
        <item x="264"/>
        <item x="306"/>
        <item x="260"/>
        <item x="137"/>
        <item x="390"/>
        <item x="224"/>
        <item x="157"/>
        <item x="235"/>
        <item x="659"/>
        <item x="124"/>
        <item x="336"/>
        <item x="542"/>
        <item x="108"/>
        <item x="856"/>
        <item x="789"/>
        <item x="334"/>
        <item x="638"/>
        <item x="76"/>
        <item x="182"/>
        <item x="359"/>
        <item x="541"/>
        <item x="209"/>
        <item x="1"/>
        <item x="183"/>
        <item x="501"/>
        <item x="499"/>
        <item x="186"/>
        <item x="818"/>
        <item x="191"/>
        <item x="262"/>
        <item x="77"/>
        <item x="483"/>
        <item x="352"/>
        <item x="42"/>
        <item x="247"/>
        <item x="526"/>
        <item x="49"/>
        <item x="213"/>
        <item x="927"/>
        <item x="81"/>
        <item x="823"/>
        <item x="606"/>
        <item x="858"/>
        <item x="5"/>
        <item x="726"/>
        <item x="497"/>
        <item x="816"/>
        <item x="53"/>
        <item x="283"/>
        <item x="667"/>
        <item x="769"/>
        <item x="592"/>
        <item x="141"/>
        <item x="314"/>
        <item x="114"/>
        <item x="109"/>
        <item x="176"/>
        <item x="307"/>
        <item x="464"/>
        <item x="419"/>
        <item x="577"/>
        <item x="71"/>
        <item x="899"/>
        <item x="292"/>
        <item x="771"/>
        <item x="931"/>
        <item x="3"/>
        <item x="757"/>
        <item x="749"/>
        <item x="22"/>
        <item x="184"/>
        <item x="21"/>
        <item x="725"/>
        <item x="824"/>
        <item x="877"/>
        <item x="623"/>
        <item x="648"/>
        <item x="947"/>
        <item x="441"/>
        <item x="386"/>
        <item x="677"/>
        <item x="732"/>
        <item x="45"/>
        <item x="979"/>
        <item x="60"/>
        <item x="683"/>
        <item x="4"/>
        <item x="143"/>
        <item x="792"/>
        <item x="122"/>
        <item x="472"/>
        <item x="128"/>
        <item x="801"/>
        <item x="229"/>
        <item x="609"/>
        <item x="933"/>
        <item x="863"/>
        <item x="180"/>
        <item x="2"/>
        <item x="204"/>
        <item x="847"/>
        <item x="331"/>
        <item x="670"/>
        <item x="570"/>
        <item x="451"/>
        <item x="620"/>
        <item x="661"/>
        <item x="69"/>
        <item x="713"/>
        <item x="964"/>
        <item x="697"/>
        <item x="731"/>
        <item x="807"/>
        <item x="244"/>
        <item x="339"/>
        <item x="783"/>
        <item x="447"/>
        <item x="111"/>
        <item x="859"/>
        <item x="586"/>
        <item x="39"/>
        <item x="431"/>
        <item x="263"/>
        <item x="891"/>
        <item x="974"/>
        <item x="218"/>
        <item x="978"/>
        <item x="327"/>
        <item x="986"/>
        <item x="660"/>
        <item x="900"/>
        <item x="678"/>
        <item x="954"/>
        <item x="246"/>
        <item x="599"/>
        <item x="608"/>
        <item x="822"/>
        <item x="456"/>
        <item x="234"/>
        <item x="422"/>
        <item x="698"/>
        <item x="559"/>
        <item x="508"/>
        <item x="652"/>
        <item x="251"/>
        <item x="934"/>
        <item x="729"/>
        <item x="803"/>
        <item x="265"/>
        <item x="912"/>
        <item x="958"/>
        <item x="254"/>
        <item x="33"/>
        <item x="557"/>
        <item x="602"/>
        <item x="286"/>
        <item x="921"/>
        <item x="672"/>
        <item x="920"/>
        <item x="898"/>
        <item x="613"/>
        <item x="815"/>
        <item x="940"/>
        <item x="403"/>
        <item x="250"/>
        <item x="105"/>
        <item x="551"/>
        <item x="368"/>
        <item x="202"/>
        <item x="325"/>
        <item x="703"/>
        <item x="435"/>
        <item x="554"/>
        <item x="761"/>
        <item x="194"/>
        <item x="741"/>
        <item x="170"/>
        <item x="611"/>
        <item x="6"/>
        <item x="849"/>
        <item x="446"/>
        <item x="70"/>
        <item x="710"/>
        <item x="800"/>
        <item x="830"/>
        <item x="583"/>
        <item x="38"/>
        <item x="512"/>
        <item x="100"/>
        <item x="173"/>
        <item x="634"/>
        <item x="622"/>
        <item x="968"/>
        <item x="985"/>
        <item x="983"/>
        <item x="922"/>
        <item x="812"/>
        <item x="288"/>
        <item x="625"/>
        <item x="549"/>
        <item x="82"/>
        <item x="939"/>
        <item x="748"/>
        <item x="96"/>
        <item x="598"/>
        <item x="479"/>
        <item x="28"/>
        <item x="151"/>
        <item x="584"/>
        <item x="347"/>
        <item x="865"/>
        <item x="537"/>
        <item x="134"/>
        <item x="238"/>
        <item x="928"/>
        <item x="903"/>
        <item x="102"/>
        <item x="730"/>
        <item x="520"/>
        <item x="466"/>
        <item x="269"/>
        <item x="415"/>
        <item x="23"/>
        <item x="220"/>
        <item x="885"/>
        <item x="879"/>
        <item x="148"/>
        <item x="860"/>
        <item x="345"/>
        <item x="711"/>
        <item x="675"/>
        <item x="835"/>
        <item x="890"/>
        <item x="200"/>
        <item x="635"/>
        <item x="882"/>
        <item x="523"/>
        <item x="232"/>
        <item x="223"/>
        <item x="315"/>
        <item x="795"/>
        <item x="984"/>
        <item x="935"/>
        <item x="717"/>
        <item x="385"/>
        <item x="569"/>
        <item x="530"/>
        <item x="461"/>
        <item x="953"/>
        <item x="905"/>
        <item x="699"/>
        <item x="740"/>
        <item x="580"/>
        <item x="156"/>
        <item x="797"/>
        <item x="679"/>
        <item x="862"/>
        <item x="751"/>
        <item x="762"/>
        <item x="482"/>
        <item x="409"/>
        <item x="547"/>
        <item x="724"/>
        <item x="384"/>
        <item x="923"/>
        <item x="720"/>
        <item x="617"/>
        <item x="152"/>
        <item x="424"/>
        <item x="808"/>
        <item x="791"/>
        <item x="777"/>
        <item x="389"/>
        <item x="562"/>
        <item x="528"/>
        <item x="651"/>
        <item x="103"/>
        <item x="952"/>
        <item x="126"/>
        <item x="794"/>
        <item x="284"/>
        <item x="401"/>
        <item x="138"/>
        <item x="641"/>
        <item x="682"/>
        <item x="255"/>
        <item x="796"/>
        <item x="811"/>
        <item x="26"/>
        <item x="361"/>
        <item x="145"/>
        <item x="24"/>
        <item x="274"/>
        <item x="445"/>
        <item x="702"/>
        <item x="350"/>
        <item x="353"/>
        <item x="707"/>
        <item x="146"/>
        <item x="428"/>
        <item x="970"/>
        <item x="140"/>
        <item x="567"/>
        <item x="330"/>
        <item x="642"/>
        <item x="15"/>
        <item x="273"/>
        <item x="20"/>
        <item x="97"/>
        <item x="644"/>
        <item x="504"/>
        <item x="676"/>
        <item x="480"/>
        <item x="236"/>
        <item x="904"/>
        <item x="701"/>
        <item x="624"/>
        <item x="531"/>
        <item x="534"/>
        <item x="133"/>
        <item x="721"/>
        <item x="321"/>
        <item x="372"/>
        <item x="206"/>
        <item x="610"/>
        <item x="463"/>
        <item x="115"/>
        <item x="68"/>
        <item x="379"/>
        <item x="373"/>
        <item x="326"/>
        <item x="305"/>
        <item x="120"/>
        <item x="160"/>
        <item x="636"/>
        <item x="686"/>
        <item x="700"/>
        <item x="516"/>
        <item x="957"/>
        <item x="910"/>
        <item x="104"/>
        <item x="452"/>
        <item x="571"/>
        <item x="119"/>
        <item x="850"/>
        <item x="673"/>
        <item x="781"/>
        <item x="491"/>
        <item x="848"/>
        <item x="962"/>
        <item x="510"/>
        <item x="821"/>
        <item x="603"/>
        <item x="74"/>
        <item x="640"/>
        <item x="843"/>
        <item x="150"/>
        <item x="237"/>
        <item x="289"/>
        <item x="468"/>
        <item x="83"/>
        <item x="46"/>
        <item x="708"/>
        <item x="92"/>
        <item x="362"/>
        <item x="566"/>
        <item x="509"/>
        <item x="396"/>
        <item x="65"/>
        <item x="344"/>
        <item x="231"/>
        <item x="727"/>
        <item x="356"/>
        <item x="742"/>
        <item x="627"/>
        <item x="876"/>
        <item x="375"/>
        <item x="955"/>
        <item x="253"/>
        <item x="719"/>
        <item x="136"/>
        <item x="706"/>
        <item x="734"/>
        <item x="498"/>
        <item x="579"/>
        <item x="18"/>
        <item x="142"/>
        <item x="844"/>
        <item x="302"/>
        <item x="322"/>
        <item x="318"/>
        <item x="230"/>
        <item x="628"/>
        <item x="758"/>
        <item x="780"/>
        <item x="454"/>
        <item x="696"/>
        <item x="874"/>
        <item x="25"/>
        <item x="535"/>
        <item x="895"/>
        <item x="205"/>
        <item x="578"/>
        <item x="692"/>
        <item x="590"/>
        <item x="410"/>
        <item x="189"/>
        <item x="355"/>
        <item x="515"/>
        <item x="290"/>
        <item x="16"/>
        <item x="650"/>
        <item x="376"/>
        <item x="743"/>
        <item x="867"/>
        <item x="490"/>
        <item x="420"/>
        <item x="878"/>
        <item x="225"/>
        <item x="814"/>
        <item x="949"/>
        <item x="113"/>
        <item x="392"/>
        <item x="688"/>
        <item x="457"/>
        <item x="897"/>
        <item x="280"/>
        <item x="759"/>
        <item x="474"/>
        <item x="11"/>
        <item x="159"/>
        <item x="773"/>
        <item x="746"/>
        <item x="406"/>
        <item x="864"/>
        <item x="402"/>
        <item x="450"/>
        <item x="871"/>
        <item x="829"/>
        <item x="178"/>
        <item x="805"/>
        <item x="924"/>
        <item x="632"/>
        <item x="467"/>
        <item x="656"/>
        <item x="980"/>
        <item x="291"/>
        <item x="556"/>
        <item x="911"/>
        <item x="135"/>
        <item x="272"/>
        <item x="369"/>
        <item x="130"/>
        <item x="239"/>
        <item x="630"/>
        <item x="319"/>
        <item x="340"/>
        <item x="41"/>
        <item x="492"/>
        <item x="8"/>
        <item x="211"/>
        <item x="112"/>
        <item x="278"/>
        <item x="363"/>
        <item x="121"/>
        <item x="294"/>
        <item x="842"/>
        <item x="546"/>
        <item x="637"/>
        <item x="533"/>
        <item x="884"/>
        <item x="177"/>
        <item x="0"/>
        <item x="704"/>
        <item x="201"/>
        <item x="61"/>
        <item x="831"/>
        <item x="753"/>
        <item x="755"/>
        <item x="167"/>
        <item x="894"/>
        <item x="961"/>
        <item x="475"/>
        <item x="107"/>
        <item x="32"/>
        <item x="298"/>
        <item x="261"/>
        <item x="853"/>
        <item x="423"/>
        <item x="493"/>
        <item x="85"/>
        <item x="649"/>
        <item x="421"/>
        <item x="335"/>
        <item x="346"/>
        <item x="34"/>
        <item x="366"/>
        <item x="722"/>
        <item x="486"/>
        <item x="44"/>
        <item x="166"/>
        <item x="169"/>
        <item x="378"/>
        <item x="106"/>
        <item x="257"/>
        <item x="826"/>
        <item x="88"/>
        <item x="277"/>
        <item x="950"/>
        <item x="662"/>
        <item x="123"/>
        <item x="744"/>
        <item x="774"/>
        <item x="851"/>
        <item x="654"/>
        <item x="845"/>
        <item x="364"/>
        <item x="459"/>
        <item x="827"/>
        <item x="75"/>
        <item x="565"/>
        <item x="496"/>
        <item x="872"/>
        <item x="14"/>
        <item x="212"/>
        <item x="35"/>
        <item x="548"/>
        <item x="951"/>
        <item x="309"/>
        <item x="215"/>
        <item x="552"/>
        <item x="328"/>
        <item x="838"/>
        <item x="519"/>
        <item x="63"/>
        <item x="527"/>
        <item x="59"/>
        <item x="581"/>
        <item x="646"/>
        <item x="181"/>
        <item x="324"/>
        <item x="663"/>
        <item x="507"/>
        <item x="612"/>
        <item x="626"/>
        <item x="73"/>
        <item x="275"/>
        <item x="754"/>
        <item x="737"/>
        <item x="505"/>
        <item x="190"/>
        <item x="799"/>
        <item x="31"/>
        <item x="487"/>
        <item x="563"/>
        <item x="149"/>
        <item x="412"/>
        <item x="568"/>
        <item x="57"/>
        <item x="560"/>
        <item x="470"/>
        <item x="242"/>
        <item x="854"/>
        <item x="333"/>
        <item x="575"/>
        <item x="691"/>
        <item x="657"/>
        <item x="532"/>
        <item x="338"/>
        <item x="817"/>
        <item x="784"/>
        <item x="776"/>
        <item x="647"/>
        <item x="465"/>
        <item x="185"/>
        <item x="852"/>
        <item x="802"/>
        <item x="427"/>
        <item x="685"/>
        <item x="887"/>
        <item x="248"/>
        <item x="615"/>
        <item x="300"/>
        <item x="270"/>
        <item x="564"/>
        <item x="469"/>
        <item x="782"/>
        <item x="342"/>
        <item x="162"/>
        <item x="825"/>
        <item x="271"/>
        <item x="668"/>
        <item x="806"/>
        <item x="279"/>
        <item x="621"/>
        <item x="383"/>
        <item x="941"/>
        <item x="460"/>
        <item x="919"/>
        <item x="942"/>
        <item x="917"/>
        <item x="52"/>
        <item x="179"/>
        <item x="553"/>
        <item x="414"/>
        <item x="513"/>
        <item x="425"/>
        <item x="906"/>
        <item x="214"/>
        <item x="163"/>
        <item x="395"/>
        <item x="689"/>
        <item x="360"/>
        <item x="503"/>
        <item x="909"/>
        <item x="550"/>
        <item x="976"/>
        <item x="243"/>
        <item x="99"/>
        <item x="407"/>
        <item x="538"/>
        <item x="597"/>
        <item x="478"/>
        <item x="604"/>
        <item x="116"/>
        <item x="434"/>
        <item x="593"/>
        <item x="963"/>
        <item x="790"/>
        <item x="763"/>
        <item x="836"/>
        <item x="171"/>
        <item x="484"/>
        <item x="443"/>
        <item x="655"/>
        <item x="514"/>
        <item x="174"/>
        <item x="709"/>
        <item x="529"/>
        <item x="607"/>
        <item x="348"/>
        <item x="561"/>
        <item x="252"/>
        <item x="591"/>
        <item x="555"/>
        <item x="471"/>
        <item x="787"/>
        <item x="832"/>
        <item x="40"/>
        <item x="785"/>
        <item x="828"/>
        <item x="489"/>
        <item x="66"/>
        <item x="12"/>
        <item x="258"/>
        <item x="164"/>
        <item x="117"/>
        <item x="56"/>
        <item x="846"/>
        <item x="669"/>
        <item x="943"/>
        <item x="317"/>
        <item x="207"/>
        <item x="681"/>
        <item x="495"/>
        <item x="282"/>
        <item x="596"/>
        <item x="680"/>
        <item x="222"/>
        <item x="718"/>
        <item x="95"/>
        <item x="266"/>
        <item x="91"/>
        <item x="17"/>
        <item x="303"/>
        <item x="756"/>
        <item x="521"/>
        <item x="937"/>
        <item x="500"/>
        <item x="798"/>
        <item x="665"/>
        <item x="72"/>
        <item x="760"/>
        <item x="296"/>
        <item x="788"/>
        <item x="240"/>
        <item x="539"/>
        <item x="694"/>
        <item x="705"/>
        <item x="118"/>
        <item x="687"/>
        <item x="371"/>
        <item x="67"/>
        <item x="227"/>
        <item x="93"/>
        <item x="295"/>
        <item x="400"/>
        <item x="195"/>
        <item x="969"/>
        <item x="343"/>
        <item x="50"/>
        <item x="973"/>
        <item x="399"/>
        <item x="448"/>
        <item x="870"/>
        <item x="196"/>
        <item x="370"/>
        <item x="594"/>
        <item x="926"/>
        <item x="94"/>
        <item x="293"/>
        <item x="9"/>
        <item x="433"/>
        <item x="775"/>
        <item x="786"/>
        <item x="605"/>
        <item x="892"/>
        <item x="221"/>
        <item x="485"/>
        <item x="54"/>
        <item x="666"/>
        <item x="313"/>
        <item x="589"/>
        <item x="259"/>
        <item x="219"/>
        <item x="193"/>
        <item x="449"/>
        <item x="154"/>
        <item x="98"/>
        <item x="966"/>
        <item x="101"/>
        <item x="438"/>
        <item x="868"/>
        <item x="820"/>
        <item x="494"/>
        <item x="518"/>
        <item x="203"/>
        <item x="367"/>
        <item x="127"/>
        <item x="712"/>
        <item x="778"/>
        <item x="971"/>
        <item x="981"/>
        <item x="574"/>
        <item x="439"/>
        <item x="110"/>
        <item x="840"/>
        <item x="869"/>
        <item x="793"/>
        <item x="394"/>
        <item x="779"/>
        <item x="866"/>
        <item x="982"/>
        <item x="256"/>
        <item x="653"/>
        <item x="875"/>
        <item x="750"/>
        <item x="48"/>
        <item x="772"/>
        <item x="916"/>
        <item x="304"/>
        <item x="587"/>
        <item x="329"/>
        <item x="914"/>
        <item x="972"/>
        <item x="883"/>
        <item x="354"/>
        <item x="833"/>
        <item x="37"/>
        <item x="323"/>
        <item x="316"/>
        <item x="29"/>
        <item x="87"/>
        <item x="960"/>
        <item x="733"/>
        <item x="506"/>
        <item x="956"/>
        <item x="517"/>
        <item x="301"/>
        <item x="442"/>
        <item x="855"/>
        <item x="813"/>
        <item x="78"/>
        <item x="417"/>
        <item x="645"/>
        <item x="965"/>
        <item x="888"/>
        <item x="558"/>
        <item x="380"/>
        <item x="674"/>
        <item x="695"/>
        <item x="544"/>
        <item x="946"/>
        <item x="582"/>
        <item x="158"/>
        <item x="351"/>
        <item x="929"/>
        <item x="747"/>
        <item x="945"/>
        <item x="536"/>
        <item x="398"/>
        <item x="388"/>
        <item x="889"/>
        <item x="51"/>
        <item x="387"/>
        <item x="381"/>
        <item x="408"/>
        <item x="89"/>
        <item x="161"/>
        <item x="804"/>
        <item x="125"/>
        <item x="873"/>
        <item x="715"/>
        <item x="739"/>
        <item x="175"/>
        <item x="524"/>
        <item x="285"/>
        <item x="382"/>
        <item x="893"/>
        <item x="752"/>
        <item x="228"/>
        <item x="192"/>
        <item x="614"/>
        <item x="768"/>
        <item x="64"/>
        <item x="393"/>
        <item x="312"/>
        <item x="765"/>
        <item x="633"/>
        <item x="881"/>
        <item x="426"/>
        <item x="241"/>
        <item x="139"/>
        <item x="545"/>
        <item x="975"/>
        <item x="473"/>
        <item x="411"/>
        <item x="907"/>
        <item x="573"/>
        <item x="671"/>
        <item x="27"/>
        <item x="684"/>
        <item x="948"/>
        <item x="525"/>
        <item x="131"/>
        <item x="404"/>
        <item x="440"/>
        <item x="819"/>
        <item x="959"/>
        <item x="299"/>
        <item x="462"/>
        <item x="233"/>
        <item x="476"/>
        <item x="418"/>
        <item x="477"/>
        <item x="217"/>
        <item x="365"/>
        <item x="30"/>
        <item x="144"/>
        <item x="925"/>
        <item x="337"/>
        <item x="341"/>
        <item x="377"/>
        <item x="413"/>
        <item x="7"/>
        <item x="736"/>
        <item x="210"/>
        <item x="809"/>
        <item x="764"/>
        <item x="619"/>
        <item x="405"/>
        <item x="770"/>
        <item x="522"/>
        <item x="745"/>
        <item x="311"/>
        <item x="723"/>
        <item x="693"/>
        <item x="766"/>
        <item x="13"/>
        <item x="62"/>
        <item x="320"/>
        <item x="861"/>
        <item x="639"/>
        <item x="600"/>
        <item x="79"/>
        <item x="728"/>
        <item x="429"/>
        <item x="199"/>
        <item x="86"/>
        <item x="616"/>
        <item x="297"/>
        <item x="543"/>
        <item x="631"/>
        <item x="310"/>
        <item x="268"/>
        <item x="198"/>
        <item x="226"/>
        <item x="444"/>
        <item x="629"/>
        <item x="481"/>
        <item x="601"/>
        <item x="488"/>
        <item x="810"/>
        <item x="944"/>
        <item x="47"/>
        <item x="595"/>
        <item x="308"/>
        <item x="276"/>
        <item x="281"/>
        <item x="930"/>
        <item x="458"/>
        <item x="155"/>
        <item x="576"/>
        <item x="453"/>
        <item x="839"/>
        <item x="437"/>
        <item x="197"/>
        <item x="880"/>
        <item x="172"/>
        <item x="837"/>
        <item x="901"/>
        <item x="540"/>
        <item x="841"/>
        <item x="80"/>
        <item x="216"/>
        <item t="default"/>
      </items>
    </pivotField>
    <pivotField showAll="0">
      <items count="16">
        <item x="11"/>
        <item x="0"/>
        <item x="13"/>
        <item x="3"/>
        <item x="2"/>
        <item x="7"/>
        <item x="4"/>
        <item x="6"/>
        <item x="1"/>
        <item x="10"/>
        <item x="9"/>
        <item x="5"/>
        <item x="14"/>
        <item x="12"/>
        <item x="8"/>
        <item t="default"/>
      </items>
    </pivotField>
    <pivotField showAll="0">
      <items count="999">
        <item x="645"/>
        <item x="620"/>
        <item x="359"/>
        <item x="10"/>
        <item x="43"/>
        <item x="716"/>
        <item x="137"/>
        <item x="392"/>
        <item x="794"/>
        <item x="245"/>
        <item x="316"/>
        <item x="692"/>
        <item x="771"/>
        <item x="885"/>
        <item x="45"/>
        <item x="474"/>
        <item x="611"/>
        <item x="129"/>
        <item x="336"/>
        <item x="788"/>
        <item x="543"/>
        <item x="208"/>
        <item x="334"/>
        <item x="55"/>
        <item x="587"/>
        <item x="448"/>
        <item x="168"/>
        <item x="70"/>
        <item x="141"/>
        <item x="113"/>
        <item x="235"/>
        <item x="741"/>
        <item x="661"/>
        <item x="309"/>
        <item x="124"/>
        <item x="775"/>
        <item x="946"/>
        <item x="23"/>
        <item x="957"/>
        <item x="258"/>
        <item x="677"/>
        <item x="841"/>
        <item x="899"/>
        <item x="58"/>
        <item x="525"/>
        <item x="153"/>
        <item x="513"/>
        <item x="660"/>
        <item x="103"/>
        <item x="799"/>
        <item x="937"/>
        <item x="925"/>
        <item x="187"/>
        <item x="236"/>
        <item x="894"/>
        <item x="188"/>
        <item x="978"/>
        <item x="948"/>
        <item x="824"/>
        <item x="989"/>
        <item x="266"/>
        <item x="910"/>
        <item x="399"/>
        <item x="83"/>
        <item x="434"/>
        <item x="376"/>
        <item x="730"/>
        <item x="432"/>
        <item x="255"/>
        <item x="443"/>
        <item x="666"/>
        <item x="500"/>
        <item x="735"/>
        <item x="25"/>
        <item x="864"/>
        <item x="685"/>
        <item x="640"/>
        <item x="378"/>
        <item x="764"/>
        <item x="918"/>
        <item x="744"/>
        <item x="186"/>
        <item x="613"/>
        <item x="6"/>
        <item x="404"/>
        <item x="249"/>
        <item x="988"/>
        <item x="371"/>
        <item x="494"/>
        <item x="38"/>
        <item x="942"/>
        <item x="3"/>
        <item x="368"/>
        <item x="169"/>
        <item x="812"/>
        <item x="28"/>
        <item x="184"/>
        <item x="213"/>
        <item x="733"/>
        <item x="19"/>
        <item x="360"/>
        <item x="583"/>
        <item x="985"/>
        <item x="165"/>
        <item x="277"/>
        <item x="965"/>
        <item x="463"/>
        <item x="147"/>
        <item x="964"/>
        <item x="693"/>
        <item x="84"/>
        <item x="393"/>
        <item x="765"/>
        <item x="549"/>
        <item x="944"/>
        <item x="840"/>
        <item x="272"/>
        <item x="457"/>
        <item x="344"/>
        <item x="162"/>
        <item x="386"/>
        <item x="528"/>
        <item x="152"/>
        <item x="76"/>
        <item x="672"/>
        <item x="604"/>
        <item x="71"/>
        <item x="564"/>
        <item x="930"/>
        <item x="351"/>
        <item x="436"/>
        <item x="572"/>
        <item x="963"/>
        <item x="453"/>
        <item x="250"/>
        <item x="355"/>
        <item x="590"/>
        <item x="865"/>
        <item x="928"/>
        <item x="262"/>
        <item x="132"/>
        <item x="523"/>
        <item x="97"/>
        <item x="863"/>
        <item x="763"/>
        <item x="906"/>
        <item x="914"/>
        <item x="244"/>
        <item x="689"/>
        <item x="536"/>
        <item x="195"/>
        <item x="345"/>
        <item x="438"/>
        <item x="866"/>
        <item x="836"/>
        <item x="361"/>
        <item x="591"/>
        <item x="876"/>
        <item x="119"/>
        <item x="229"/>
        <item x="847"/>
        <item x="421"/>
        <item x="493"/>
        <item x="873"/>
        <item x="308"/>
        <item x="973"/>
        <item x="2"/>
        <item x="680"/>
        <item x="74"/>
        <item x="627"/>
        <item x="458"/>
        <item x="444"/>
        <item x="5"/>
        <item x="418"/>
        <item x="854"/>
        <item x="333"/>
        <item x="751"/>
        <item x="291"/>
        <item x="151"/>
        <item x="923"/>
        <item x="939"/>
        <item x="913"/>
        <item x="346"/>
        <item x="231"/>
        <item x="175"/>
        <item x="922"/>
        <item x="417"/>
        <item x="1"/>
        <item x="428"/>
        <item x="503"/>
        <item x="475"/>
        <item x="708"/>
        <item x="501"/>
        <item x="713"/>
        <item x="36"/>
        <item x="320"/>
        <item x="504"/>
        <item x="630"/>
        <item x="912"/>
        <item x="975"/>
        <item x="191"/>
        <item x="574"/>
        <item x="734"/>
        <item x="77"/>
        <item x="797"/>
        <item x="122"/>
        <item x="829"/>
        <item x="608"/>
        <item x="327"/>
        <item x="446"/>
        <item x="705"/>
        <item x="954"/>
        <item x="354"/>
        <item x="182"/>
        <item x="42"/>
        <item x="718"/>
        <item x="194"/>
        <item x="21"/>
        <item x="813"/>
        <item x="728"/>
        <item x="452"/>
        <item x="285"/>
        <item x="738"/>
        <item x="712"/>
        <item x="610"/>
        <item x="264"/>
        <item x="130"/>
        <item x="643"/>
        <item x="817"/>
        <item x="211"/>
        <item x="636"/>
        <item x="0"/>
        <item x="60"/>
        <item x="116"/>
        <item x="477"/>
        <item x="32"/>
        <item x="729"/>
        <item x="860"/>
        <item x="140"/>
        <item x="289"/>
        <item x="337"/>
        <item x="806"/>
        <item x="44"/>
        <item x="90"/>
        <item x="832"/>
        <item x="539"/>
        <item x="664"/>
        <item x="723"/>
        <item x="938"/>
        <item x="465"/>
        <item x="858"/>
        <item x="522"/>
        <item x="105"/>
        <item x="183"/>
        <item x="148"/>
        <item x="269"/>
        <item x="995"/>
        <item x="570"/>
        <item x="49"/>
        <item x="760"/>
        <item x="143"/>
        <item x="582"/>
        <item x="900"/>
        <item x="338"/>
        <item x="209"/>
        <item x="715"/>
        <item x="544"/>
        <item x="467"/>
        <item x="224"/>
        <item x="869"/>
        <item x="895"/>
        <item x="65"/>
        <item x="107"/>
        <item x="745"/>
        <item x="157"/>
        <item x="787"/>
        <item x="969"/>
        <item x="173"/>
        <item x="916"/>
        <item x="362"/>
        <item x="919"/>
        <item x="39"/>
        <item x="290"/>
        <item x="433"/>
        <item x="882"/>
        <item x="795"/>
        <item x="657"/>
        <item x="905"/>
        <item x="950"/>
        <item x="516"/>
        <item x="901"/>
        <item x="4"/>
        <item x="773"/>
        <item x="22"/>
        <item x="81"/>
        <item x="128"/>
        <item x="66"/>
        <item x="164"/>
        <item x="853"/>
        <item x="466"/>
        <item x="485"/>
        <item x="17"/>
        <item x="20"/>
        <item x="579"/>
        <item x="793"/>
        <item x="703"/>
        <item x="408"/>
        <item x="669"/>
        <item x="114"/>
        <item x="810"/>
        <item x="934"/>
        <item x="752"/>
        <item x="247"/>
        <item x="902"/>
        <item x="805"/>
        <item x="594"/>
        <item x="532"/>
        <item x="638"/>
        <item x="239"/>
        <item x="781"/>
        <item x="104"/>
        <item x="520"/>
        <item x="908"/>
        <item x="650"/>
        <item x="176"/>
        <item x="499"/>
        <item x="548"/>
        <item x="892"/>
        <item x="784"/>
        <item x="822"/>
        <item x="679"/>
        <item x="642"/>
        <item x="495"/>
        <item x="85"/>
        <item x="651"/>
        <item x="941"/>
        <item x="971"/>
        <item x="782"/>
        <item x="700"/>
        <item x="600"/>
        <item x="470"/>
        <item x="46"/>
        <item x="896"/>
        <item x="990"/>
        <item x="108"/>
        <item x="830"/>
        <item x="732"/>
        <item x="389"/>
        <item x="809"/>
        <item x="110"/>
        <item x="212"/>
        <item x="768"/>
        <item x="53"/>
        <item x="241"/>
        <item x="909"/>
        <item x="575"/>
        <item x="347"/>
        <item x="959"/>
        <item x="559"/>
        <item x="709"/>
        <item x="288"/>
        <item x="931"/>
        <item x="479"/>
        <item x="981"/>
        <item x="662"/>
        <item x="767"/>
        <item x="407"/>
        <item x="774"/>
        <item x="644"/>
        <item x="945"/>
        <item x="246"/>
        <item x="769"/>
        <item x="615"/>
        <item x="482"/>
        <item x="514"/>
        <item x="915"/>
        <item x="370"/>
        <item x="625"/>
        <item x="823"/>
        <item x="561"/>
        <item x="490"/>
        <item x="388"/>
        <item x="622"/>
        <item x="943"/>
        <item x="492"/>
        <item x="807"/>
        <item x="82"/>
        <item x="120"/>
        <item x="688"/>
        <item x="180"/>
        <item x="586"/>
        <item x="951"/>
        <item x="462"/>
        <item x="857"/>
        <item x="927"/>
        <item x="159"/>
        <item x="997"/>
        <item x="699"/>
        <item x="294"/>
        <item x="850"/>
        <item x="480"/>
        <item x="115"/>
        <item x="126"/>
        <item x="341"/>
        <item x="870"/>
        <item x="26"/>
        <item x="510"/>
        <item x="365"/>
        <item x="276"/>
        <item x="849"/>
        <item x="204"/>
        <item x="624"/>
        <item x="663"/>
        <item x="571"/>
        <item x="953"/>
        <item x="818"/>
        <item x="207"/>
        <item x="551"/>
        <item x="136"/>
        <item x="329"/>
        <item x="759"/>
        <item x="803"/>
        <item x="72"/>
        <item x="240"/>
        <item x="279"/>
        <item x="601"/>
        <item x="50"/>
        <item x="785"/>
        <item x="449"/>
        <item x="366"/>
        <item x="381"/>
        <item x="779"/>
        <item x="498"/>
        <item x="821"/>
        <item x="261"/>
        <item x="193"/>
        <item x="357"/>
        <item x="893"/>
        <item x="968"/>
        <item x="887"/>
        <item x="202"/>
        <item x="714"/>
        <item x="844"/>
        <item x="665"/>
        <item x="798"/>
        <item x="257"/>
        <item x="138"/>
        <item x="223"/>
        <item x="996"/>
        <item x="414"/>
        <item x="387"/>
        <item x="674"/>
        <item x="87"/>
        <item x="770"/>
        <item x="749"/>
        <item x="819"/>
        <item x="588"/>
        <item x="879"/>
        <item x="349"/>
        <item x="859"/>
        <item x="398"/>
        <item x="390"/>
        <item x="897"/>
        <item x="41"/>
        <item x="220"/>
        <item x="811"/>
        <item x="314"/>
        <item x="437"/>
        <item x="33"/>
        <item x="796"/>
        <item x="52"/>
        <item x="555"/>
        <item x="201"/>
        <item x="214"/>
        <item x="69"/>
        <item x="375"/>
        <item x="142"/>
        <item x="825"/>
        <item x="307"/>
        <item x="424"/>
        <item x="972"/>
        <item x="230"/>
        <item x="170"/>
        <item x="653"/>
        <item x="698"/>
        <item x="524"/>
        <item x="265"/>
        <item x="348"/>
        <item x="748"/>
        <item x="488"/>
        <item x="380"/>
        <item x="711"/>
        <item x="96"/>
        <item x="481"/>
        <item x="218"/>
        <item x="252"/>
        <item x="267"/>
        <item x="553"/>
        <item x="24"/>
        <item x="270"/>
        <item x="123"/>
        <item x="278"/>
        <item x="150"/>
        <item x="75"/>
        <item x="117"/>
        <item x="155"/>
        <item x="585"/>
        <item x="846"/>
        <item x="271"/>
        <item x="14"/>
        <item x="172"/>
        <item x="225"/>
        <item x="867"/>
        <item x="979"/>
        <item x="181"/>
        <item x="568"/>
        <item x="11"/>
        <item x="614"/>
        <item x="626"/>
        <item x="808"/>
        <item x="358"/>
        <item x="232"/>
        <item x="450"/>
        <item x="719"/>
        <item x="721"/>
        <item x="828"/>
        <item x="737"/>
        <item x="234"/>
        <item x="219"/>
        <item x="321"/>
        <item x="340"/>
        <item x="342"/>
        <item x="920"/>
        <item x="440"/>
        <item x="256"/>
        <item x="801"/>
        <item x="454"/>
        <item x="363"/>
        <item x="654"/>
        <item x="296"/>
        <item x="761"/>
        <item x="704"/>
        <item x="484"/>
        <item x="396"/>
        <item x="251"/>
        <item x="61"/>
        <item x="758"/>
        <item x="537"/>
        <item x="405"/>
        <item x="722"/>
        <item x="926"/>
        <item x="856"/>
        <item x="983"/>
        <item x="34"/>
        <item x="515"/>
        <item x="506"/>
        <item x="397"/>
        <item x="391"/>
        <item x="374"/>
        <item x="656"/>
        <item x="459"/>
        <item x="907"/>
        <item x="629"/>
        <item x="192"/>
        <item x="550"/>
        <item x="681"/>
        <item x="702"/>
        <item x="215"/>
        <item x="411"/>
        <item x="898"/>
        <item x="178"/>
        <item x="18"/>
        <item x="628"/>
        <item x="304"/>
        <item x="556"/>
        <item x="958"/>
        <item x="426"/>
        <item x="210"/>
        <item x="683"/>
        <item x="569"/>
        <item x="268"/>
        <item x="111"/>
        <item x="646"/>
        <item x="102"/>
        <item x="100"/>
        <item x="535"/>
        <item x="577"/>
        <item x="412"/>
        <item x="743"/>
        <item x="292"/>
        <item x="156"/>
        <item x="133"/>
        <item x="206"/>
        <item x="612"/>
        <item x="286"/>
        <item x="984"/>
        <item x="802"/>
        <item x="425"/>
        <item x="994"/>
        <item x="936"/>
        <item x="754"/>
        <item x="874"/>
        <item x="684"/>
        <item x="791"/>
        <item x="949"/>
        <item x="637"/>
        <item x="447"/>
        <item x="451"/>
        <item x="112"/>
        <item x="890"/>
        <item x="101"/>
        <item x="872"/>
        <item x="690"/>
        <item x="623"/>
        <item x="385"/>
        <item x="127"/>
        <item x="238"/>
        <item x="675"/>
        <item x="786"/>
        <item x="581"/>
        <item x="332"/>
        <item x="468"/>
        <item x="701"/>
        <item x="932"/>
        <item x="456"/>
        <item x="658"/>
        <item x="842"/>
        <item x="533"/>
        <item x="519"/>
        <item x="200"/>
        <item x="8"/>
        <item x="580"/>
        <item x="73"/>
        <item x="956"/>
        <item x="838"/>
        <item x="328"/>
        <item x="134"/>
        <item x="804"/>
        <item x="317"/>
        <item x="955"/>
        <item x="177"/>
        <item x="12"/>
        <item x="489"/>
        <item x="565"/>
        <item x="472"/>
        <item x="146"/>
        <item x="430"/>
        <item x="377"/>
        <item x="966"/>
        <item x="423"/>
        <item x="855"/>
        <item x="394"/>
        <item x="947"/>
        <item x="530"/>
        <item x="667"/>
        <item x="724"/>
        <item x="429"/>
        <item x="687"/>
        <item x="237"/>
        <item x="726"/>
        <item x="800"/>
        <item x="933"/>
        <item x="670"/>
        <item x="619"/>
        <item x="921"/>
        <item x="274"/>
        <item x="79"/>
        <item x="518"/>
        <item x="299"/>
        <item x="511"/>
        <item x="517"/>
        <item x="63"/>
        <item x="275"/>
        <item x="886"/>
        <item x="455"/>
        <item x="706"/>
        <item x="766"/>
        <item x="216"/>
        <item x="993"/>
        <item x="403"/>
        <item x="106"/>
        <item x="512"/>
        <item x="149"/>
        <item x="762"/>
        <item x="242"/>
        <item x="160"/>
        <item x="676"/>
        <item x="671"/>
        <item x="649"/>
        <item x="710"/>
        <item x="469"/>
        <item x="991"/>
        <item x="16"/>
        <item x="678"/>
        <item x="755"/>
        <item x="696"/>
        <item x="471"/>
        <item x="652"/>
        <item x="746"/>
        <item x="889"/>
        <item x="145"/>
        <item x="323"/>
        <item x="980"/>
        <item x="121"/>
        <item x="845"/>
        <item x="529"/>
        <item x="352"/>
        <item x="68"/>
        <item x="596"/>
        <item x="837"/>
        <item x="756"/>
        <item x="904"/>
        <item x="324"/>
        <item x="367"/>
        <item x="757"/>
        <item x="599"/>
        <item x="98"/>
        <item x="727"/>
        <item x="31"/>
        <item x="777"/>
        <item x="15"/>
        <item x="445"/>
        <item x="13"/>
        <item x="659"/>
        <item x="634"/>
        <item x="884"/>
        <item x="558"/>
        <item x="135"/>
        <item x="790"/>
        <item x="631"/>
        <item x="827"/>
        <item x="605"/>
        <item x="461"/>
        <item x="833"/>
        <item x="578"/>
        <item x="820"/>
        <item x="960"/>
        <item x="303"/>
        <item x="851"/>
        <item x="875"/>
        <item x="554"/>
        <item x="647"/>
        <item x="573"/>
        <item x="502"/>
        <item x="929"/>
        <item x="253"/>
        <item x="538"/>
        <item x="707"/>
        <item x="416"/>
        <item x="163"/>
        <item x="691"/>
        <item x="694"/>
        <item x="592"/>
        <item x="190"/>
        <item x="552"/>
        <item x="835"/>
        <item x="196"/>
        <item x="772"/>
        <item x="435"/>
        <item x="917"/>
        <item x="977"/>
        <item x="233"/>
        <item x="369"/>
        <item x="557"/>
        <item x="30"/>
        <item x="280"/>
        <item x="92"/>
        <item x="364"/>
        <item x="109"/>
        <item x="35"/>
        <item x="639"/>
        <item x="962"/>
        <item x="313"/>
        <item x="205"/>
        <item x="189"/>
        <item x="254"/>
        <item x="682"/>
        <item x="305"/>
        <item x="37"/>
        <item x="815"/>
        <item x="298"/>
        <item x="293"/>
        <item x="310"/>
        <item x="439"/>
        <item x="382"/>
        <item x="632"/>
        <item x="697"/>
        <item x="961"/>
        <item x="99"/>
        <item x="335"/>
        <item x="747"/>
        <item x="778"/>
        <item x="534"/>
        <item x="295"/>
        <item x="486"/>
        <item x="228"/>
        <item x="780"/>
        <item x="54"/>
        <item x="174"/>
        <item x="350"/>
        <item x="311"/>
        <item x="167"/>
        <item x="300"/>
        <item x="413"/>
        <item x="617"/>
        <item x="422"/>
        <item x="166"/>
        <item x="740"/>
        <item x="497"/>
        <item x="284"/>
        <item x="88"/>
        <item x="621"/>
        <item x="720"/>
        <item x="427"/>
        <item x="282"/>
        <item x="476"/>
        <item x="861"/>
        <item x="243"/>
        <item x="567"/>
        <item x="967"/>
        <item x="67"/>
        <item x="606"/>
        <item x="227"/>
        <item x="871"/>
        <item x="402"/>
        <item x="974"/>
        <item x="198"/>
        <item x="789"/>
        <item x="263"/>
        <item x="401"/>
        <item x="94"/>
        <item x="940"/>
        <item x="521"/>
        <item x="197"/>
        <item x="648"/>
        <item x="302"/>
        <item x="509"/>
        <item x="384"/>
        <item x="259"/>
        <item x="273"/>
        <item x="826"/>
        <item x="783"/>
        <item x="952"/>
        <item x="880"/>
        <item x="339"/>
        <item x="379"/>
        <item x="330"/>
        <item x="814"/>
        <item x="924"/>
        <item x="595"/>
        <item x="373"/>
        <item x="29"/>
        <item x="297"/>
        <item x="326"/>
        <item x="62"/>
        <item x="322"/>
        <item x="531"/>
        <item x="862"/>
        <item x="372"/>
        <item x="78"/>
        <item x="563"/>
        <item x="473"/>
        <item x="566"/>
        <item x="40"/>
        <item x="507"/>
        <item x="483"/>
        <item x="603"/>
        <item x="816"/>
        <item x="51"/>
        <item x="852"/>
        <item x="562"/>
        <item x="717"/>
        <item x="982"/>
        <item x="635"/>
        <item x="987"/>
        <item x="95"/>
        <item x="91"/>
        <item x="409"/>
        <item x="59"/>
        <item x="655"/>
        <item x="131"/>
        <item x="118"/>
        <item x="171"/>
        <item x="301"/>
        <item x="248"/>
        <item x="356"/>
        <item x="325"/>
        <item x="736"/>
        <item x="831"/>
        <item x="792"/>
        <item x="281"/>
        <item x="9"/>
        <item x="57"/>
        <item x="179"/>
        <item x="353"/>
        <item x="56"/>
        <item x="505"/>
        <item x="319"/>
        <item x="881"/>
        <item x="203"/>
        <item x="598"/>
        <item x="222"/>
        <item x="441"/>
        <item x="185"/>
        <item x="848"/>
        <item x="541"/>
        <item x="986"/>
        <item x="609"/>
        <item x="27"/>
        <item x="593"/>
        <item x="442"/>
        <item x="839"/>
        <item x="318"/>
        <item x="834"/>
        <item x="415"/>
        <item x="668"/>
        <item x="315"/>
        <item x="560"/>
        <item x="584"/>
        <item x="158"/>
        <item x="725"/>
        <item x="540"/>
        <item x="400"/>
        <item x="618"/>
        <item x="576"/>
        <item x="903"/>
        <item x="93"/>
        <item x="911"/>
        <item x="542"/>
        <item x="673"/>
        <item x="589"/>
        <item x="878"/>
        <item x="491"/>
        <item x="686"/>
        <item x="406"/>
        <item x="260"/>
        <item x="221"/>
        <item x="478"/>
        <item x="935"/>
        <item x="7"/>
        <item x="739"/>
        <item x="976"/>
        <item x="546"/>
        <item x="992"/>
        <item x="383"/>
        <item x="731"/>
        <item x="125"/>
        <item x="431"/>
        <item x="287"/>
        <item x="64"/>
        <item x="139"/>
        <item x="547"/>
        <item x="597"/>
        <item x="306"/>
        <item x="331"/>
        <item x="607"/>
        <item x="888"/>
        <item x="843"/>
        <item x="487"/>
        <item x="527"/>
        <item x="464"/>
        <item x="154"/>
        <item x="144"/>
        <item x="343"/>
        <item x="496"/>
        <item x="750"/>
        <item x="877"/>
        <item x="410"/>
        <item x="883"/>
        <item x="753"/>
        <item x="395"/>
        <item x="312"/>
        <item x="48"/>
        <item x="776"/>
        <item x="891"/>
        <item x="460"/>
        <item x="508"/>
        <item x="80"/>
        <item x="970"/>
        <item x="419"/>
        <item x="89"/>
        <item x="161"/>
        <item x="742"/>
        <item x="695"/>
        <item x="526"/>
        <item x="602"/>
        <item x="616"/>
        <item x="47"/>
        <item x="420"/>
        <item x="217"/>
        <item x="868"/>
        <item x="641"/>
        <item x="199"/>
        <item x="86"/>
        <item x="545"/>
        <item x="633"/>
        <item x="226"/>
        <item x="283"/>
        <item t="default"/>
      </items>
    </pivotField>
    <pivotField dataField="1" showAll="0">
      <items count="32">
        <item x="8"/>
        <item x="2"/>
        <item x="18"/>
        <item x="12"/>
        <item x="29"/>
        <item x="4"/>
        <item x="11"/>
        <item x="13"/>
        <item x="14"/>
        <item x="25"/>
        <item x="20"/>
        <item x="1"/>
        <item x="22"/>
        <item x="6"/>
        <item x="3"/>
        <item x="27"/>
        <item x="16"/>
        <item x="7"/>
        <item x="23"/>
        <item x="19"/>
        <item x="21"/>
        <item x="24"/>
        <item x="28"/>
        <item x="0"/>
        <item x="9"/>
        <item x="15"/>
        <item x="10"/>
        <item x="17"/>
        <item x="5"/>
        <item x="26"/>
        <item x="30"/>
        <item t="default"/>
      </items>
    </pivotField>
    <pivotField dataField="1" showAll="0">
      <items count="991">
        <item x="198"/>
        <item x="870"/>
        <item x="836"/>
        <item x="749"/>
        <item x="729"/>
        <item x="408"/>
        <item x="221"/>
        <item x="671"/>
        <item x="545"/>
        <item x="178"/>
        <item x="407"/>
        <item x="808"/>
        <item x="337"/>
        <item x="439"/>
        <item x="139"/>
        <item x="543"/>
        <item x="525"/>
        <item x="666"/>
        <item x="418"/>
        <item x="538"/>
        <item x="163"/>
        <item x="125"/>
        <item x="955"/>
        <item x="979"/>
        <item x="574"/>
        <item x="131"/>
        <item x="420"/>
        <item x="317"/>
        <item x="723"/>
        <item x="323"/>
        <item x="202"/>
        <item x="877"/>
        <item x="767"/>
        <item x="933"/>
        <item x="380"/>
        <item x="216"/>
        <item x="56"/>
        <item x="657"/>
        <item x="154"/>
        <item x="882"/>
        <item x="467"/>
        <item x="970"/>
        <item x="903"/>
        <item x="695"/>
        <item x="984"/>
        <item x="773"/>
        <item x="252"/>
        <item x="556"/>
        <item x="591"/>
        <item x="215"/>
        <item x="693"/>
        <item x="414"/>
        <item x="786"/>
        <item x="393"/>
        <item x="274"/>
        <item x="149"/>
        <item x="942"/>
        <item x="809"/>
        <item x="94"/>
        <item x="399"/>
        <item x="539"/>
        <item x="57"/>
        <item x="226"/>
        <item x="519"/>
        <item x="682"/>
        <item x="868"/>
        <item x="297"/>
        <item x="204"/>
        <item x="232"/>
        <item x="37"/>
        <item x="40"/>
        <item x="329"/>
        <item x="189"/>
        <item x="845"/>
        <item x="820"/>
        <item x="184"/>
        <item x="79"/>
        <item x="160"/>
        <item x="673"/>
        <item x="605"/>
        <item x="536"/>
        <item x="607"/>
        <item x="561"/>
        <item x="309"/>
        <item x="813"/>
        <item x="176"/>
        <item x="62"/>
        <item x="653"/>
        <item x="704"/>
        <item x="64"/>
        <item x="951"/>
        <item x="197"/>
        <item x="883"/>
        <item x="619"/>
        <item x="700"/>
        <item x="145"/>
        <item x="743"/>
        <item x="551"/>
        <item x="48"/>
        <item x="827"/>
        <item x="13"/>
        <item x="509"/>
        <item x="922"/>
        <item x="960"/>
        <item x="864"/>
        <item x="445"/>
        <item x="195"/>
        <item x="68"/>
        <item x="469"/>
        <item x="886"/>
        <item x="854"/>
        <item x="479"/>
        <item x="9"/>
        <item x="133"/>
        <item x="466"/>
        <item x="872"/>
        <item x="504"/>
        <item x="555"/>
        <item x="680"/>
        <item x="510"/>
        <item x="627"/>
        <item x="489"/>
        <item x="645"/>
        <item x="895"/>
        <item x="508"/>
        <item x="126"/>
        <item x="579"/>
        <item x="326"/>
        <item x="651"/>
        <item x="356"/>
        <item x="975"/>
        <item x="734"/>
        <item x="69"/>
        <item x="896"/>
        <item x="255"/>
        <item x="315"/>
        <item x="566"/>
        <item x="159"/>
        <item x="106"/>
        <item x="818"/>
        <item x="795"/>
        <item x="474"/>
        <item x="860"/>
        <item x="270"/>
        <item x="705"/>
        <item x="438"/>
        <item x="595"/>
        <item x="963"/>
        <item x="676"/>
        <item x="646"/>
        <item x="985"/>
        <item x="462"/>
        <item x="688"/>
        <item x="928"/>
        <item x="819"/>
        <item x="218"/>
        <item x="615"/>
        <item x="849"/>
        <item x="269"/>
        <item x="793"/>
        <item x="533"/>
        <item x="601"/>
        <item x="371"/>
        <item x="550"/>
        <item x="674"/>
        <item x="945"/>
        <item x="150"/>
        <item x="798"/>
        <item x="272"/>
        <item x="603"/>
        <item x="403"/>
        <item x="612"/>
        <item x="464"/>
        <item x="27"/>
        <item x="322"/>
        <item x="34"/>
        <item x="559"/>
        <item x="110"/>
        <item x="192"/>
        <item x="278"/>
        <item x="661"/>
        <item x="75"/>
        <item x="312"/>
        <item x="203"/>
        <item x="421"/>
        <item x="598"/>
        <item x="396"/>
        <item x="231"/>
        <item x="880"/>
        <item x="454"/>
        <item x="294"/>
        <item x="483"/>
        <item x="41"/>
        <item x="440"/>
        <item x="11"/>
        <item x="677"/>
        <item x="339"/>
        <item x="167"/>
        <item x="718"/>
        <item x="863"/>
        <item x="351"/>
        <item x="750"/>
        <item x="724"/>
        <item x="101"/>
        <item x="969"/>
        <item x="143"/>
        <item x="346"/>
        <item x="814"/>
        <item x="697"/>
        <item x="730"/>
        <item x="696"/>
        <item x="67"/>
        <item x="348"/>
        <item x="838"/>
        <item x="382"/>
        <item x="755"/>
        <item x="39"/>
        <item x="641"/>
        <item x="740"/>
        <item x="283"/>
        <item x="972"/>
        <item x="781"/>
        <item x="564"/>
        <item x="260"/>
        <item x="460"/>
        <item x="974"/>
        <item x="810"/>
        <item x="310"/>
        <item x="179"/>
        <item x="964"/>
        <item x="520"/>
        <item x="379"/>
        <item x="118"/>
        <item x="978"/>
        <item x="893"/>
        <item x="497"/>
        <item x="74"/>
        <item x="962"/>
        <item x="649"/>
        <item x="201"/>
        <item x="594"/>
        <item x="388"/>
        <item x="0"/>
        <item x="899"/>
        <item x="782"/>
        <item x="548"/>
        <item x="917"/>
        <item x="5"/>
        <item x="823"/>
        <item x="51"/>
        <item x="433"/>
        <item x="331"/>
        <item x="123"/>
        <item x="727"/>
        <item x="535"/>
        <item x="8"/>
        <item x="247"/>
        <item x="576"/>
        <item x="973"/>
        <item x="222"/>
        <item x="629"/>
        <item x="289"/>
        <item x="816"/>
        <item x="46"/>
        <item x="530"/>
        <item x="848"/>
        <item x="471"/>
        <item x="24"/>
        <item x="908"/>
        <item x="506"/>
        <item x="72"/>
        <item x="832"/>
        <item x="709"/>
        <item x="196"/>
        <item x="711"/>
        <item x="298"/>
        <item x="428"/>
        <item x="259"/>
        <item x="624"/>
        <item x="387"/>
        <item x="801"/>
        <item x="140"/>
        <item x="354"/>
        <item x="780"/>
        <item x="116"/>
        <item x="451"/>
        <item x="568"/>
        <item x="401"/>
        <item x="694"/>
        <item x="84"/>
        <item x="237"/>
        <item x="208"/>
        <item x="514"/>
        <item x="534"/>
        <item x="897"/>
        <item x="136"/>
        <item x="785"/>
        <item x="245"/>
        <item x="986"/>
        <item x="562"/>
        <item x="839"/>
        <item x="791"/>
        <item x="249"/>
        <item x="967"/>
        <item x="707"/>
        <item x="638"/>
        <item x="662"/>
        <item x="21"/>
        <item x="395"/>
        <item x="60"/>
        <item x="156"/>
        <item x="120"/>
        <item x="815"/>
        <item x="796"/>
        <item x="907"/>
        <item x="6"/>
        <item x="521"/>
        <item x="685"/>
        <item x="486"/>
        <item x="230"/>
        <item x="522"/>
        <item x="946"/>
        <item x="512"/>
        <item x="264"/>
        <item x="572"/>
        <item x="318"/>
        <item x="842"/>
        <item x="470"/>
        <item x="901"/>
        <item x="288"/>
        <item x="104"/>
        <item x="948"/>
        <item x="650"/>
        <item x="921"/>
        <item x="385"/>
        <item x="492"/>
        <item x="410"/>
        <item x="345"/>
        <item x="981"/>
        <item x="499"/>
        <item x="914"/>
        <item x="748"/>
        <item x="915"/>
        <item x="180"/>
        <item x="713"/>
        <item x="577"/>
        <item x="171"/>
        <item x="879"/>
        <item x="822"/>
        <item x="639"/>
        <item x="463"/>
        <item x="957"/>
        <item x="732"/>
        <item x="787"/>
        <item x="875"/>
        <item x="623"/>
        <item x="223"/>
        <item x="498"/>
        <item x="597"/>
        <item x="441"/>
        <item x="622"/>
        <item x="701"/>
        <item x="910"/>
        <item x="98"/>
        <item x="741"/>
        <item x="271"/>
        <item x="115"/>
        <item x="96"/>
        <item x="754"/>
        <item x="455"/>
        <item x="50"/>
        <item x="779"/>
        <item x="802"/>
        <item x="683"/>
        <item x="83"/>
        <item x="717"/>
        <item x="588"/>
        <item x="721"/>
        <item x="432"/>
        <item x="456"/>
        <item x="76"/>
        <item x="157"/>
        <item x="384"/>
        <item x="888"/>
        <item x="977"/>
        <item x="502"/>
        <item x="920"/>
        <item x="756"/>
        <item x="276"/>
        <item x="32"/>
        <item x="669"/>
        <item x="193"/>
        <item x="424"/>
        <item x="792"/>
        <item x="181"/>
        <item x="902"/>
        <item x="958"/>
        <item x="344"/>
        <item x="174"/>
        <item x="625"/>
        <item x="799"/>
        <item x="911"/>
        <item x="800"/>
        <item x="655"/>
        <item x="664"/>
        <item x="238"/>
        <item x="442"/>
        <item x="65"/>
        <item x="342"/>
        <item x="592"/>
        <item x="874"/>
        <item x="746"/>
        <item x="358"/>
        <item x="687"/>
        <item x="788"/>
        <item x="254"/>
        <item x="857"/>
        <item x="25"/>
        <item x="85"/>
        <item x="840"/>
        <item x="374"/>
        <item x="18"/>
        <item x="431"/>
        <item x="935"/>
        <item x="929"/>
        <item x="708"/>
        <item x="606"/>
        <item x="488"/>
        <item x="850"/>
        <item x="305"/>
        <item x="580"/>
        <item x="172"/>
        <item x="821"/>
        <item x="416"/>
        <item x="265"/>
        <item x="496"/>
        <item x="692"/>
        <item x="426"/>
        <item x="851"/>
        <item x="847"/>
        <item x="570"/>
        <item x="308"/>
        <item x="881"/>
        <item x="465"/>
        <item x="518"/>
        <item x="906"/>
        <item x="49"/>
        <item x="777"/>
        <item x="475"/>
        <item x="366"/>
        <item x="369"/>
        <item x="934"/>
        <item x="44"/>
        <item x="190"/>
        <item x="90"/>
        <item x="797"/>
        <item x="119"/>
        <item x="19"/>
        <item x="402"/>
        <item x="547"/>
        <item x="526"/>
        <item x="349"/>
        <item x="759"/>
        <item x="640"/>
        <item x="461"/>
        <item x="253"/>
        <item x="42"/>
        <item x="937"/>
        <item x="415"/>
        <item x="480"/>
        <item x="762"/>
        <item x="828"/>
        <item x="36"/>
        <item x="656"/>
        <item x="670"/>
        <item x="618"/>
        <item x="943"/>
        <item x="611"/>
        <item x="199"/>
        <item x="760"/>
        <item x="16"/>
        <item x="643"/>
        <item x="182"/>
        <item x="357"/>
        <item x="829"/>
        <item x="812"/>
        <item x="81"/>
        <item x="10"/>
        <item x="165"/>
        <item x="449"/>
        <item x="690"/>
        <item x="137"/>
        <item x="151"/>
        <item x="148"/>
        <item x="244"/>
        <item x="261"/>
        <item x="321"/>
        <item x="563"/>
        <item x="325"/>
        <item x="636"/>
        <item x="314"/>
        <item x="482"/>
        <item x="207"/>
        <item x="944"/>
        <item x="236"/>
        <item x="644"/>
        <item x="988"/>
        <item x="770"/>
        <item x="912"/>
        <item x="307"/>
        <item x="390"/>
        <item x="129"/>
        <item x="472"/>
        <item x="33"/>
        <item x="43"/>
        <item x="714"/>
        <item x="353"/>
        <item x="3"/>
        <item x="334"/>
        <item x="332"/>
        <item x="586"/>
        <item x="444"/>
        <item x="789"/>
        <item x="846"/>
        <item x="585"/>
        <item x="931"/>
        <item x="134"/>
        <item x="672"/>
        <item x="620"/>
        <item x="186"/>
        <item x="904"/>
        <item x="678"/>
        <item x="878"/>
        <item x="541"/>
        <item x="194"/>
        <item x="589"/>
        <item x="936"/>
        <item x="890"/>
        <item x="378"/>
        <item x="738"/>
        <item x="343"/>
        <item x="263"/>
        <item x="477"/>
        <item x="468"/>
        <item x="648"/>
        <item x="490"/>
        <item x="961"/>
        <item x="609"/>
        <item x="783"/>
        <item x="766"/>
        <item x="114"/>
        <item x="859"/>
        <item x="234"/>
        <item x="956"/>
        <item x="436"/>
        <item x="147"/>
        <item x="97"/>
        <item x="45"/>
        <item x="70"/>
        <item x="898"/>
        <item x="675"/>
        <item x="930"/>
        <item x="183"/>
        <item x="918"/>
        <item x="658"/>
        <item x="376"/>
        <item x="869"/>
        <item x="501"/>
        <item x="386"/>
        <item x="905"/>
        <item x="834"/>
        <item x="523"/>
        <item x="537"/>
        <item x="941"/>
        <item x="162"/>
        <item x="102"/>
        <item x="728"/>
        <item x="804"/>
        <item x="187"/>
        <item x="185"/>
        <item x="794"/>
        <item x="228"/>
        <item x="152"/>
        <item x="117"/>
        <item x="866"/>
        <item x="950"/>
        <item x="966"/>
        <item x="100"/>
        <item x="491"/>
        <item x="273"/>
        <item x="938"/>
        <item x="38"/>
        <item x="141"/>
        <item x="391"/>
        <item x="634"/>
        <item x="124"/>
        <item x="817"/>
        <item x="23"/>
        <item x="58"/>
        <item x="726"/>
        <item x="161"/>
        <item x="833"/>
        <item x="248"/>
        <item x="103"/>
        <item x="277"/>
        <item x="233"/>
        <item x="965"/>
        <item x="360"/>
        <item x="406"/>
        <item x="55"/>
        <item x="635"/>
        <item x="397"/>
        <item x="336"/>
        <item x="939"/>
        <item x="128"/>
        <item x="446"/>
        <item x="691"/>
        <item x="71"/>
        <item x="168"/>
        <item x="891"/>
        <item x="952"/>
        <item x="947"/>
        <item x="257"/>
        <item x="122"/>
        <item x="365"/>
        <item x="235"/>
        <item x="153"/>
        <item x="659"/>
        <item x="980"/>
        <item x="758"/>
        <item x="983"/>
        <item x="447"/>
        <item x="87"/>
        <item x="546"/>
        <item x="430"/>
        <item x="169"/>
        <item x="132"/>
        <item x="843"/>
        <item x="511"/>
        <item x="987"/>
        <item x="865"/>
        <item x="306"/>
        <item x="434"/>
        <item x="359"/>
        <item x="112"/>
        <item x="628"/>
        <item x="867"/>
        <item x="130"/>
        <item x="923"/>
        <item x="916"/>
        <item x="971"/>
        <item x="335"/>
        <item x="459"/>
        <item x="858"/>
        <item x="806"/>
        <item x="581"/>
        <item x="853"/>
        <item x="913"/>
        <item x="355"/>
        <item x="784"/>
        <item x="427"/>
        <item x="425"/>
        <item x="571"/>
        <item x="887"/>
        <item x="377"/>
        <item x="493"/>
        <item x="553"/>
        <item x="367"/>
        <item x="642"/>
        <item x="105"/>
        <item x="108"/>
        <item x="735"/>
        <item x="602"/>
        <item x="240"/>
        <item x="268"/>
        <item x="220"/>
        <item x="213"/>
        <item x="744"/>
        <item x="188"/>
        <item x="731"/>
        <item x="242"/>
        <item x="287"/>
        <item x="703"/>
        <item x="982"/>
        <item x="764"/>
        <item x="584"/>
        <item x="856"/>
        <item x="111"/>
        <item x="667"/>
        <item x="831"/>
        <item x="243"/>
        <item x="266"/>
        <item x="158"/>
        <item x="892"/>
        <item x="212"/>
        <item x="925"/>
        <item x="1"/>
        <item x="435"/>
        <item x="347"/>
        <item x="324"/>
        <item x="742"/>
        <item x="593"/>
        <item x="932"/>
        <item x="28"/>
        <item x="774"/>
        <item x="2"/>
        <item x="82"/>
        <item x="805"/>
        <item x="654"/>
        <item x="170"/>
        <item x="894"/>
        <item x="368"/>
        <item x="776"/>
        <item x="30"/>
        <item x="473"/>
        <item x="803"/>
        <item x="716"/>
        <item x="702"/>
        <item x="352"/>
        <item x="77"/>
        <item x="660"/>
        <item x="398"/>
        <item x="361"/>
        <item x="246"/>
        <item x="448"/>
        <item x="256"/>
        <item x="807"/>
        <item x="924"/>
        <item x="765"/>
        <item x="710"/>
        <item x="200"/>
        <item x="686"/>
        <item x="531"/>
        <item x="567"/>
        <item x="301"/>
        <item x="757"/>
        <item x="927"/>
        <item x="889"/>
        <item x="712"/>
        <item x="768"/>
        <item x="155"/>
        <item x="26"/>
        <item x="412"/>
        <item x="12"/>
        <item x="175"/>
        <item x="107"/>
        <item x="217"/>
        <item x="769"/>
        <item x="565"/>
        <item x="706"/>
        <item x="560"/>
        <item x="340"/>
        <item x="73"/>
        <item x="811"/>
        <item x="862"/>
        <item x="745"/>
        <item x="608"/>
        <item x="373"/>
        <item x="569"/>
        <item x="394"/>
        <item x="419"/>
        <item x="826"/>
        <item x="422"/>
        <item x="258"/>
        <item x="825"/>
        <item x="968"/>
        <item x="138"/>
        <item x="267"/>
        <item x="17"/>
        <item x="241"/>
        <item x="763"/>
        <item x="327"/>
        <item x="275"/>
        <item x="549"/>
        <item x="22"/>
        <item x="626"/>
        <item x="542"/>
        <item x="284"/>
        <item x="210"/>
        <item x="752"/>
        <item x="478"/>
        <item x="450"/>
        <item x="720"/>
        <item x="753"/>
        <item x="698"/>
        <item x="554"/>
        <item x="31"/>
        <item x="364"/>
        <item x="652"/>
        <item x="113"/>
        <item x="900"/>
        <item x="4"/>
        <item x="885"/>
        <item x="292"/>
        <item x="599"/>
        <item x="771"/>
        <item x="363"/>
        <item x="719"/>
        <item x="109"/>
        <item x="279"/>
        <item x="632"/>
        <item x="127"/>
        <item x="668"/>
        <item x="20"/>
        <item x="66"/>
        <item x="876"/>
        <item x="505"/>
        <item x="53"/>
        <item x="211"/>
        <item x="291"/>
        <item x="573"/>
        <item x="164"/>
        <item x="790"/>
        <item x="613"/>
        <item x="989"/>
        <item x="575"/>
        <item x="517"/>
        <item x="177"/>
        <item x="663"/>
        <item x="219"/>
        <item x="142"/>
        <item x="578"/>
        <item x="457"/>
        <item x="214"/>
        <item x="405"/>
        <item x="557"/>
        <item x="959"/>
        <item x="630"/>
        <item x="429"/>
        <item x="583"/>
        <item x="88"/>
        <item x="830"/>
        <item x="527"/>
        <item x="302"/>
        <item x="251"/>
        <item x="166"/>
        <item x="239"/>
        <item x="837"/>
        <item x="52"/>
        <item x="338"/>
        <item x="443"/>
        <item x="206"/>
        <item x="144"/>
        <item x="95"/>
        <item x="409"/>
        <item x="80"/>
        <item x="293"/>
        <item x="940"/>
        <item x="121"/>
        <item x="224"/>
        <item x="383"/>
        <item x="949"/>
        <item x="250"/>
        <item x="135"/>
        <item x="590"/>
        <item x="884"/>
        <item x="733"/>
        <item x="229"/>
        <item x="191"/>
        <item x="89"/>
        <item x="852"/>
        <item x="647"/>
        <item x="953"/>
        <item x="452"/>
        <item x="91"/>
        <item x="689"/>
        <item x="722"/>
        <item x="919"/>
        <item x="778"/>
        <item x="285"/>
        <item x="487"/>
        <item x="99"/>
        <item x="617"/>
        <item x="423"/>
        <item x="976"/>
        <item x="372"/>
        <item x="14"/>
        <item x="679"/>
        <item x="736"/>
        <item x="411"/>
        <item x="290"/>
        <item x="604"/>
        <item x="610"/>
        <item x="63"/>
        <item x="35"/>
        <item x="320"/>
        <item x="173"/>
        <item x="225"/>
        <item x="621"/>
        <item x="350"/>
        <item x="319"/>
        <item x="375"/>
        <item x="15"/>
        <item x="330"/>
        <item x="92"/>
        <item x="296"/>
        <item x="844"/>
        <item x="47"/>
        <item x="725"/>
        <item x="503"/>
        <item x="205"/>
        <item x="400"/>
        <item x="61"/>
        <item x="299"/>
        <item x="515"/>
        <item x="835"/>
        <item x="681"/>
        <item x="582"/>
        <item x="389"/>
        <item x="227"/>
        <item x="631"/>
        <item x="392"/>
        <item x="739"/>
        <item x="528"/>
        <item x="873"/>
        <item x="303"/>
        <item x="926"/>
        <item x="93"/>
        <item x="495"/>
        <item x="841"/>
        <item x="516"/>
        <item x="209"/>
        <item x="513"/>
        <item x="494"/>
        <item x="699"/>
        <item x="775"/>
        <item x="328"/>
        <item x="280"/>
        <item x="7"/>
        <item x="300"/>
        <item x="751"/>
        <item x="295"/>
        <item x="453"/>
        <item x="316"/>
        <item x="485"/>
        <item x="146"/>
        <item x="262"/>
        <item x="761"/>
        <item x="484"/>
        <item x="637"/>
        <item x="532"/>
        <item x="458"/>
        <item x="437"/>
        <item x="587"/>
        <item x="333"/>
        <item x="715"/>
        <item x="665"/>
        <item x="772"/>
        <item x="404"/>
        <item x="362"/>
        <item x="313"/>
        <item x="417"/>
        <item x="737"/>
        <item x="596"/>
        <item x="507"/>
        <item x="500"/>
        <item x="481"/>
        <item x="529"/>
        <item x="747"/>
        <item x="540"/>
        <item x="413"/>
        <item x="633"/>
        <item x="600"/>
        <item x="871"/>
        <item x="954"/>
        <item x="86"/>
        <item x="311"/>
        <item x="552"/>
        <item x="909"/>
        <item x="370"/>
        <item x="281"/>
        <item x="29"/>
        <item x="286"/>
        <item x="341"/>
        <item x="54"/>
        <item x="855"/>
        <item x="304"/>
        <item x="684"/>
        <item x="282"/>
        <item x="544"/>
        <item x="558"/>
        <item x="59"/>
        <item x="824"/>
        <item x="78"/>
        <item x="616"/>
        <item x="381"/>
        <item x="476"/>
        <item x="524"/>
        <item x="614"/>
        <item x="86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0" baseField="0" baseItem="0"/>
    <dataField name="Average of Discount (%)" fld="9" subtotal="average" baseField="0" baseItem="0" numFmtId="1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useAutoFormatting="1" createdVersion="5" indent="0" outline="1" outlineData="1" multipleFieldFilters="0">
  <location ref="A3:F10" firstHeaderRow="1" firstDataRow="2" firstDataCol="1"/>
  <pivotFields count="13">
    <pivotField showAll="0">
      <items count="346">
        <item x="105"/>
        <item x="338"/>
        <item x="18"/>
        <item x="76"/>
        <item x="330"/>
        <item x="74"/>
        <item x="178"/>
        <item x="126"/>
        <item x="58"/>
        <item x="4"/>
        <item x="65"/>
        <item x="341"/>
        <item x="302"/>
        <item x="34"/>
        <item x="343"/>
        <item x="185"/>
        <item x="223"/>
        <item x="193"/>
        <item x="204"/>
        <item x="257"/>
        <item x="219"/>
        <item x="3"/>
        <item x="148"/>
        <item x="87"/>
        <item x="320"/>
        <item x="268"/>
        <item x="234"/>
        <item x="269"/>
        <item x="129"/>
        <item x="82"/>
        <item x="188"/>
        <item x="315"/>
        <item x="267"/>
        <item x="303"/>
        <item x="13"/>
        <item x="248"/>
        <item x="66"/>
        <item x="339"/>
        <item x="260"/>
        <item x="64"/>
        <item x="336"/>
        <item x="145"/>
        <item x="277"/>
        <item x="259"/>
        <item x="293"/>
        <item x="155"/>
        <item x="309"/>
        <item x="107"/>
        <item x="300"/>
        <item x="203"/>
        <item x="217"/>
        <item x="140"/>
        <item x="40"/>
        <item x="229"/>
        <item x="75"/>
        <item x="122"/>
        <item x="136"/>
        <item x="88"/>
        <item x="10"/>
        <item x="221"/>
        <item x="61"/>
        <item x="2"/>
        <item x="89"/>
        <item x="95"/>
        <item x="109"/>
        <item x="276"/>
        <item x="270"/>
        <item x="295"/>
        <item x="25"/>
        <item x="243"/>
        <item x="85"/>
        <item x="319"/>
        <item x="340"/>
        <item x="104"/>
        <item x="247"/>
        <item x="106"/>
        <item x="79"/>
        <item x="205"/>
        <item x="44"/>
        <item x="131"/>
        <item x="67"/>
        <item x="141"/>
        <item x="90"/>
        <item x="152"/>
        <item x="179"/>
        <item x="266"/>
        <item x="180"/>
        <item x="146"/>
        <item x="218"/>
        <item x="227"/>
        <item x="177"/>
        <item x="1"/>
        <item x="118"/>
        <item x="160"/>
        <item x="133"/>
        <item x="47"/>
        <item x="69"/>
        <item x="35"/>
        <item x="162"/>
        <item x="53"/>
        <item x="144"/>
        <item x="195"/>
        <item x="115"/>
        <item x="235"/>
        <item x="190"/>
        <item x="189"/>
        <item x="121"/>
        <item x="5"/>
        <item x="289"/>
        <item x="167"/>
        <item x="28"/>
        <item x="209"/>
        <item x="181"/>
        <item x="124"/>
        <item x="329"/>
        <item x="249"/>
        <item x="17"/>
        <item x="83"/>
        <item x="15"/>
        <item x="286"/>
        <item x="186"/>
        <item x="246"/>
        <item x="200"/>
        <item x="24"/>
        <item x="326"/>
        <item x="253"/>
        <item x="93"/>
        <item x="55"/>
        <item x="114"/>
        <item x="112"/>
        <item x="280"/>
        <item x="241"/>
        <item x="308"/>
        <item x="134"/>
        <item x="108"/>
        <item x="211"/>
        <item x="135"/>
        <item x="333"/>
        <item x="175"/>
        <item x="331"/>
        <item x="168"/>
        <item x="37"/>
        <item x="201"/>
        <item x="127"/>
        <item x="29"/>
        <item x="291"/>
        <item x="33"/>
        <item x="27"/>
        <item x="94"/>
        <item x="60"/>
        <item x="306"/>
        <item x="30"/>
        <item x="287"/>
        <item x="213"/>
        <item x="103"/>
        <item x="198"/>
        <item x="153"/>
        <item x="322"/>
        <item x="196"/>
        <item x="210"/>
        <item x="342"/>
        <item x="239"/>
        <item x="137"/>
        <item x="59"/>
        <item x="176"/>
        <item x="54"/>
        <item x="194"/>
        <item x="9"/>
        <item x="251"/>
        <item x="143"/>
        <item x="128"/>
        <item x="318"/>
        <item x="22"/>
        <item x="68"/>
        <item x="78"/>
        <item x="150"/>
        <item x="301"/>
        <item x="130"/>
        <item x="307"/>
        <item x="207"/>
        <item x="165"/>
        <item x="335"/>
        <item x="20"/>
        <item x="147"/>
        <item x="123"/>
        <item x="278"/>
        <item x="172"/>
        <item x="310"/>
        <item x="323"/>
        <item x="245"/>
        <item x="283"/>
        <item x="298"/>
        <item x="237"/>
        <item x="57"/>
        <item x="202"/>
        <item x="312"/>
        <item x="261"/>
        <item x="183"/>
        <item x="274"/>
        <item x="174"/>
        <item x="14"/>
        <item x="233"/>
        <item x="254"/>
        <item x="199"/>
        <item x="224"/>
        <item x="139"/>
        <item x="72"/>
        <item x="232"/>
        <item x="252"/>
        <item x="282"/>
        <item x="6"/>
        <item x="244"/>
        <item x="258"/>
        <item x="314"/>
        <item x="31"/>
        <item x="187"/>
        <item x="272"/>
        <item x="111"/>
        <item x="220"/>
        <item x="225"/>
        <item x="16"/>
        <item x="265"/>
        <item x="48"/>
        <item x="216"/>
        <item x="305"/>
        <item x="42"/>
        <item x="197"/>
        <item x="344"/>
        <item x="275"/>
        <item x="288"/>
        <item x="285"/>
        <item x="324"/>
        <item x="191"/>
        <item x="26"/>
        <item x="119"/>
        <item x="290"/>
        <item x="62"/>
        <item x="98"/>
        <item x="101"/>
        <item x="81"/>
        <item x="19"/>
        <item x="71"/>
        <item x="256"/>
        <item x="215"/>
        <item x="231"/>
        <item x="161"/>
        <item x="120"/>
        <item x="296"/>
        <item x="97"/>
        <item x="46"/>
        <item x="23"/>
        <item x="41"/>
        <item x="264"/>
        <item x="157"/>
        <item x="159"/>
        <item x="102"/>
        <item x="96"/>
        <item x="294"/>
        <item x="325"/>
        <item x="86"/>
        <item x="151"/>
        <item x="110"/>
        <item x="154"/>
        <item x="52"/>
        <item x="38"/>
        <item x="56"/>
        <item x="91"/>
        <item x="337"/>
        <item x="208"/>
        <item x="77"/>
        <item x="39"/>
        <item x="158"/>
        <item x="45"/>
        <item x="240"/>
        <item x="142"/>
        <item x="0"/>
        <item x="49"/>
        <item x="304"/>
        <item x="279"/>
        <item x="43"/>
        <item x="50"/>
        <item x="299"/>
        <item x="36"/>
        <item x="184"/>
        <item x="182"/>
        <item x="230"/>
        <item x="332"/>
        <item x="226"/>
        <item x="214"/>
        <item x="116"/>
        <item x="138"/>
        <item x="117"/>
        <item x="262"/>
        <item x="273"/>
        <item x="292"/>
        <item x="192"/>
        <item x="164"/>
        <item x="321"/>
        <item x="334"/>
        <item x="236"/>
        <item x="113"/>
        <item x="132"/>
        <item x="317"/>
        <item x="311"/>
        <item x="263"/>
        <item x="70"/>
        <item x="242"/>
        <item x="100"/>
        <item x="32"/>
        <item x="173"/>
        <item x="297"/>
        <item x="281"/>
        <item x="206"/>
        <item x="149"/>
        <item x="284"/>
        <item x="51"/>
        <item x="84"/>
        <item x="171"/>
        <item x="125"/>
        <item x="99"/>
        <item x="92"/>
        <item x="170"/>
        <item x="7"/>
        <item x="169"/>
        <item x="250"/>
        <item x="80"/>
        <item x="8"/>
        <item x="327"/>
        <item x="238"/>
        <item x="313"/>
        <item x="228"/>
        <item x="163"/>
        <item x="316"/>
        <item x="212"/>
        <item x="156"/>
        <item x="11"/>
        <item x="271"/>
        <item x="63"/>
        <item x="328"/>
        <item x="21"/>
        <item x="73"/>
        <item x="222"/>
        <item x="166"/>
        <item x="255"/>
        <item x="12"/>
        <item t="default"/>
      </items>
    </pivotField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axis="axisCol" showAll="0">
      <items count="5">
        <item x="1"/>
        <item x="2"/>
        <item x="3"/>
        <item x="0"/>
        <item t="default"/>
      </items>
    </pivotField>
    <pivotField showAll="0">
      <items count="21">
        <item x="0"/>
        <item x="9"/>
        <item x="10"/>
        <item x="12"/>
        <item x="7"/>
        <item x="2"/>
        <item x="6"/>
        <item x="5"/>
        <item x="3"/>
        <item x="14"/>
        <item x="8"/>
        <item x="4"/>
        <item x="13"/>
        <item x="19"/>
        <item x="11"/>
        <item x="16"/>
        <item x="15"/>
        <item x="18"/>
        <item x="17"/>
        <item x="1"/>
        <item t="default"/>
      </items>
    </pivotField>
    <pivotField showAll="0">
      <items count="988">
        <item x="332"/>
        <item x="245"/>
        <item x="643"/>
        <item x="357"/>
        <item x="618"/>
        <item x="10"/>
        <item x="432"/>
        <item x="738"/>
        <item x="187"/>
        <item x="886"/>
        <item x="658"/>
        <item x="208"/>
        <item x="43"/>
        <item x="977"/>
        <item x="767"/>
        <item x="397"/>
        <item x="55"/>
        <item x="249"/>
        <item x="358"/>
        <item x="168"/>
        <item x="129"/>
        <item x="690"/>
        <item x="664"/>
        <item x="936"/>
        <item x="585"/>
        <item x="430"/>
        <item x="391"/>
        <item x="349"/>
        <item x="455"/>
        <item x="147"/>
        <item x="84"/>
        <item x="896"/>
        <item x="511"/>
        <item x="908"/>
        <item x="588"/>
        <item x="416"/>
        <item x="938"/>
        <item x="915"/>
        <item x="36"/>
        <item x="374"/>
        <item x="932"/>
        <item x="19"/>
        <item x="502"/>
        <item x="857"/>
        <item x="436"/>
        <item x="716"/>
        <item x="902"/>
        <item x="834"/>
        <item x="918"/>
        <item x="132"/>
        <item x="287"/>
        <item x="714"/>
        <item x="165"/>
        <item x="58"/>
        <item x="153"/>
        <item x="188"/>
        <item x="967"/>
        <item x="913"/>
        <item x="572"/>
        <item x="735"/>
        <item x="267"/>
        <item x="90"/>
        <item x="264"/>
        <item x="306"/>
        <item x="260"/>
        <item x="137"/>
        <item x="390"/>
        <item x="224"/>
        <item x="157"/>
        <item x="235"/>
        <item x="659"/>
        <item x="124"/>
        <item x="336"/>
        <item x="542"/>
        <item x="108"/>
        <item x="856"/>
        <item x="789"/>
        <item x="334"/>
        <item x="638"/>
        <item x="76"/>
        <item x="182"/>
        <item x="359"/>
        <item x="541"/>
        <item x="209"/>
        <item x="1"/>
        <item x="183"/>
        <item x="501"/>
        <item x="499"/>
        <item x="186"/>
        <item x="818"/>
        <item x="191"/>
        <item x="262"/>
        <item x="77"/>
        <item x="483"/>
        <item x="352"/>
        <item x="42"/>
        <item x="247"/>
        <item x="526"/>
        <item x="49"/>
        <item x="213"/>
        <item x="927"/>
        <item x="81"/>
        <item x="823"/>
        <item x="606"/>
        <item x="858"/>
        <item x="5"/>
        <item x="726"/>
        <item x="497"/>
        <item x="816"/>
        <item x="53"/>
        <item x="283"/>
        <item x="667"/>
        <item x="769"/>
        <item x="592"/>
        <item x="141"/>
        <item x="314"/>
        <item x="114"/>
        <item x="109"/>
        <item x="176"/>
        <item x="307"/>
        <item x="464"/>
        <item x="419"/>
        <item x="577"/>
        <item x="71"/>
        <item x="899"/>
        <item x="292"/>
        <item x="771"/>
        <item x="931"/>
        <item x="3"/>
        <item x="757"/>
        <item x="749"/>
        <item x="22"/>
        <item x="184"/>
        <item x="21"/>
        <item x="725"/>
        <item x="824"/>
        <item x="877"/>
        <item x="623"/>
        <item x="648"/>
        <item x="947"/>
        <item x="441"/>
        <item x="386"/>
        <item x="677"/>
        <item x="732"/>
        <item x="45"/>
        <item x="979"/>
        <item x="60"/>
        <item x="683"/>
        <item x="4"/>
        <item x="143"/>
        <item x="792"/>
        <item x="122"/>
        <item x="472"/>
        <item x="128"/>
        <item x="801"/>
        <item x="229"/>
        <item x="609"/>
        <item x="933"/>
        <item x="863"/>
        <item x="180"/>
        <item x="2"/>
        <item x="204"/>
        <item x="847"/>
        <item x="331"/>
        <item x="670"/>
        <item x="570"/>
        <item x="451"/>
        <item x="620"/>
        <item x="661"/>
        <item x="69"/>
        <item x="713"/>
        <item x="964"/>
        <item x="697"/>
        <item x="731"/>
        <item x="807"/>
        <item x="244"/>
        <item x="339"/>
        <item x="783"/>
        <item x="447"/>
        <item x="111"/>
        <item x="859"/>
        <item x="586"/>
        <item x="39"/>
        <item x="431"/>
        <item x="263"/>
        <item x="891"/>
        <item x="974"/>
        <item x="218"/>
        <item x="978"/>
        <item x="327"/>
        <item x="986"/>
        <item x="660"/>
        <item x="900"/>
        <item x="678"/>
        <item x="954"/>
        <item x="246"/>
        <item x="599"/>
        <item x="608"/>
        <item x="822"/>
        <item x="456"/>
        <item x="234"/>
        <item x="422"/>
        <item x="698"/>
        <item x="559"/>
        <item x="508"/>
        <item x="652"/>
        <item x="251"/>
        <item x="934"/>
        <item x="729"/>
        <item x="803"/>
        <item x="265"/>
        <item x="912"/>
        <item x="958"/>
        <item x="254"/>
        <item x="33"/>
        <item x="557"/>
        <item x="602"/>
        <item x="286"/>
        <item x="921"/>
        <item x="672"/>
        <item x="920"/>
        <item x="898"/>
        <item x="613"/>
        <item x="815"/>
        <item x="940"/>
        <item x="403"/>
        <item x="250"/>
        <item x="105"/>
        <item x="551"/>
        <item x="368"/>
        <item x="202"/>
        <item x="325"/>
        <item x="703"/>
        <item x="435"/>
        <item x="554"/>
        <item x="761"/>
        <item x="194"/>
        <item x="741"/>
        <item x="170"/>
        <item x="611"/>
        <item x="6"/>
        <item x="849"/>
        <item x="446"/>
        <item x="70"/>
        <item x="710"/>
        <item x="800"/>
        <item x="830"/>
        <item x="583"/>
        <item x="38"/>
        <item x="512"/>
        <item x="100"/>
        <item x="173"/>
        <item x="634"/>
        <item x="622"/>
        <item x="968"/>
        <item x="985"/>
        <item x="983"/>
        <item x="922"/>
        <item x="812"/>
        <item x="288"/>
        <item x="625"/>
        <item x="549"/>
        <item x="82"/>
        <item x="939"/>
        <item x="748"/>
        <item x="96"/>
        <item x="598"/>
        <item x="479"/>
        <item x="28"/>
        <item x="151"/>
        <item x="584"/>
        <item x="347"/>
        <item x="865"/>
        <item x="537"/>
        <item x="134"/>
        <item x="238"/>
        <item x="928"/>
        <item x="903"/>
        <item x="102"/>
        <item x="730"/>
        <item x="520"/>
        <item x="466"/>
        <item x="269"/>
        <item x="415"/>
        <item x="23"/>
        <item x="220"/>
        <item x="885"/>
        <item x="879"/>
        <item x="148"/>
        <item x="860"/>
        <item x="345"/>
        <item x="711"/>
        <item x="675"/>
        <item x="835"/>
        <item x="890"/>
        <item x="200"/>
        <item x="635"/>
        <item x="882"/>
        <item x="523"/>
        <item x="232"/>
        <item x="223"/>
        <item x="315"/>
        <item x="795"/>
        <item x="984"/>
        <item x="935"/>
        <item x="717"/>
        <item x="385"/>
        <item x="569"/>
        <item x="530"/>
        <item x="461"/>
        <item x="953"/>
        <item x="905"/>
        <item x="699"/>
        <item x="740"/>
        <item x="580"/>
        <item x="156"/>
        <item x="797"/>
        <item x="679"/>
        <item x="862"/>
        <item x="751"/>
        <item x="762"/>
        <item x="482"/>
        <item x="409"/>
        <item x="547"/>
        <item x="724"/>
        <item x="384"/>
        <item x="923"/>
        <item x="720"/>
        <item x="617"/>
        <item x="152"/>
        <item x="424"/>
        <item x="808"/>
        <item x="791"/>
        <item x="777"/>
        <item x="389"/>
        <item x="562"/>
        <item x="528"/>
        <item x="651"/>
        <item x="103"/>
        <item x="952"/>
        <item x="126"/>
        <item x="794"/>
        <item x="284"/>
        <item x="401"/>
        <item x="138"/>
        <item x="641"/>
        <item x="682"/>
        <item x="255"/>
        <item x="796"/>
        <item x="811"/>
        <item x="26"/>
        <item x="361"/>
        <item x="145"/>
        <item x="24"/>
        <item x="274"/>
        <item x="445"/>
        <item x="702"/>
        <item x="350"/>
        <item x="353"/>
        <item x="707"/>
        <item x="146"/>
        <item x="428"/>
        <item x="970"/>
        <item x="140"/>
        <item x="567"/>
        <item x="330"/>
        <item x="642"/>
        <item x="15"/>
        <item x="273"/>
        <item x="20"/>
        <item x="97"/>
        <item x="644"/>
        <item x="504"/>
        <item x="676"/>
        <item x="480"/>
        <item x="236"/>
        <item x="904"/>
        <item x="701"/>
        <item x="624"/>
        <item x="531"/>
        <item x="534"/>
        <item x="133"/>
        <item x="721"/>
        <item x="321"/>
        <item x="372"/>
        <item x="206"/>
        <item x="610"/>
        <item x="463"/>
        <item x="115"/>
        <item x="68"/>
        <item x="379"/>
        <item x="373"/>
        <item x="326"/>
        <item x="305"/>
        <item x="120"/>
        <item x="160"/>
        <item x="636"/>
        <item x="686"/>
        <item x="700"/>
        <item x="516"/>
        <item x="957"/>
        <item x="910"/>
        <item x="104"/>
        <item x="452"/>
        <item x="571"/>
        <item x="119"/>
        <item x="850"/>
        <item x="673"/>
        <item x="781"/>
        <item x="491"/>
        <item x="848"/>
        <item x="962"/>
        <item x="510"/>
        <item x="821"/>
        <item x="603"/>
        <item x="74"/>
        <item x="640"/>
        <item x="843"/>
        <item x="150"/>
        <item x="237"/>
        <item x="289"/>
        <item x="468"/>
        <item x="83"/>
        <item x="46"/>
        <item x="708"/>
        <item x="92"/>
        <item x="362"/>
        <item x="566"/>
        <item x="509"/>
        <item x="396"/>
        <item x="65"/>
        <item x="344"/>
        <item x="231"/>
        <item x="727"/>
        <item x="356"/>
        <item x="742"/>
        <item x="627"/>
        <item x="876"/>
        <item x="375"/>
        <item x="955"/>
        <item x="253"/>
        <item x="719"/>
        <item x="136"/>
        <item x="706"/>
        <item x="734"/>
        <item x="498"/>
        <item x="579"/>
        <item x="18"/>
        <item x="142"/>
        <item x="844"/>
        <item x="302"/>
        <item x="322"/>
        <item x="318"/>
        <item x="230"/>
        <item x="628"/>
        <item x="758"/>
        <item x="780"/>
        <item x="454"/>
        <item x="696"/>
        <item x="874"/>
        <item x="25"/>
        <item x="535"/>
        <item x="895"/>
        <item x="205"/>
        <item x="578"/>
        <item x="692"/>
        <item x="590"/>
        <item x="410"/>
        <item x="189"/>
        <item x="355"/>
        <item x="515"/>
        <item x="290"/>
        <item x="16"/>
        <item x="650"/>
        <item x="376"/>
        <item x="743"/>
        <item x="867"/>
        <item x="490"/>
        <item x="420"/>
        <item x="878"/>
        <item x="225"/>
        <item x="814"/>
        <item x="949"/>
        <item x="113"/>
        <item x="392"/>
        <item x="688"/>
        <item x="457"/>
        <item x="897"/>
        <item x="280"/>
        <item x="759"/>
        <item x="474"/>
        <item x="11"/>
        <item x="159"/>
        <item x="773"/>
        <item x="746"/>
        <item x="406"/>
        <item x="864"/>
        <item x="402"/>
        <item x="450"/>
        <item x="871"/>
        <item x="829"/>
        <item x="178"/>
        <item x="805"/>
        <item x="924"/>
        <item x="632"/>
        <item x="467"/>
        <item x="656"/>
        <item x="980"/>
        <item x="291"/>
        <item x="556"/>
        <item x="911"/>
        <item x="135"/>
        <item x="272"/>
        <item x="369"/>
        <item x="130"/>
        <item x="239"/>
        <item x="630"/>
        <item x="319"/>
        <item x="340"/>
        <item x="41"/>
        <item x="492"/>
        <item x="8"/>
        <item x="211"/>
        <item x="112"/>
        <item x="278"/>
        <item x="363"/>
        <item x="121"/>
        <item x="294"/>
        <item x="842"/>
        <item x="546"/>
        <item x="637"/>
        <item x="533"/>
        <item x="884"/>
        <item x="177"/>
        <item x="0"/>
        <item x="704"/>
        <item x="201"/>
        <item x="61"/>
        <item x="831"/>
        <item x="753"/>
        <item x="755"/>
        <item x="167"/>
        <item x="894"/>
        <item x="961"/>
        <item x="475"/>
        <item x="107"/>
        <item x="32"/>
        <item x="298"/>
        <item x="261"/>
        <item x="853"/>
        <item x="423"/>
        <item x="493"/>
        <item x="85"/>
        <item x="649"/>
        <item x="421"/>
        <item x="335"/>
        <item x="346"/>
        <item x="34"/>
        <item x="366"/>
        <item x="722"/>
        <item x="486"/>
        <item x="44"/>
        <item x="166"/>
        <item x="169"/>
        <item x="378"/>
        <item x="106"/>
        <item x="257"/>
        <item x="826"/>
        <item x="88"/>
        <item x="277"/>
        <item x="950"/>
        <item x="662"/>
        <item x="123"/>
        <item x="744"/>
        <item x="774"/>
        <item x="851"/>
        <item x="654"/>
        <item x="845"/>
        <item x="364"/>
        <item x="459"/>
        <item x="827"/>
        <item x="75"/>
        <item x="565"/>
        <item x="496"/>
        <item x="872"/>
        <item x="14"/>
        <item x="212"/>
        <item x="35"/>
        <item x="548"/>
        <item x="951"/>
        <item x="309"/>
        <item x="215"/>
        <item x="552"/>
        <item x="328"/>
        <item x="838"/>
        <item x="519"/>
        <item x="63"/>
        <item x="527"/>
        <item x="59"/>
        <item x="581"/>
        <item x="646"/>
        <item x="181"/>
        <item x="324"/>
        <item x="663"/>
        <item x="507"/>
        <item x="612"/>
        <item x="626"/>
        <item x="73"/>
        <item x="275"/>
        <item x="754"/>
        <item x="737"/>
        <item x="505"/>
        <item x="190"/>
        <item x="799"/>
        <item x="31"/>
        <item x="487"/>
        <item x="563"/>
        <item x="149"/>
        <item x="412"/>
        <item x="568"/>
        <item x="57"/>
        <item x="560"/>
        <item x="470"/>
        <item x="242"/>
        <item x="854"/>
        <item x="333"/>
        <item x="575"/>
        <item x="691"/>
        <item x="657"/>
        <item x="532"/>
        <item x="338"/>
        <item x="817"/>
        <item x="784"/>
        <item x="776"/>
        <item x="647"/>
        <item x="465"/>
        <item x="185"/>
        <item x="852"/>
        <item x="802"/>
        <item x="427"/>
        <item x="685"/>
        <item x="887"/>
        <item x="248"/>
        <item x="615"/>
        <item x="300"/>
        <item x="270"/>
        <item x="564"/>
        <item x="469"/>
        <item x="782"/>
        <item x="342"/>
        <item x="162"/>
        <item x="825"/>
        <item x="271"/>
        <item x="668"/>
        <item x="806"/>
        <item x="279"/>
        <item x="621"/>
        <item x="383"/>
        <item x="941"/>
        <item x="460"/>
        <item x="919"/>
        <item x="942"/>
        <item x="917"/>
        <item x="52"/>
        <item x="179"/>
        <item x="553"/>
        <item x="414"/>
        <item x="513"/>
        <item x="425"/>
        <item x="906"/>
        <item x="214"/>
        <item x="163"/>
        <item x="395"/>
        <item x="689"/>
        <item x="360"/>
        <item x="503"/>
        <item x="909"/>
        <item x="550"/>
        <item x="976"/>
        <item x="243"/>
        <item x="99"/>
        <item x="407"/>
        <item x="538"/>
        <item x="597"/>
        <item x="478"/>
        <item x="604"/>
        <item x="116"/>
        <item x="434"/>
        <item x="593"/>
        <item x="963"/>
        <item x="790"/>
        <item x="763"/>
        <item x="836"/>
        <item x="171"/>
        <item x="484"/>
        <item x="443"/>
        <item x="655"/>
        <item x="514"/>
        <item x="174"/>
        <item x="709"/>
        <item x="529"/>
        <item x="607"/>
        <item x="348"/>
        <item x="561"/>
        <item x="252"/>
        <item x="591"/>
        <item x="555"/>
        <item x="471"/>
        <item x="787"/>
        <item x="832"/>
        <item x="40"/>
        <item x="785"/>
        <item x="828"/>
        <item x="489"/>
        <item x="66"/>
        <item x="12"/>
        <item x="258"/>
        <item x="164"/>
        <item x="117"/>
        <item x="56"/>
        <item x="846"/>
        <item x="669"/>
        <item x="943"/>
        <item x="317"/>
        <item x="207"/>
        <item x="681"/>
        <item x="495"/>
        <item x="282"/>
        <item x="596"/>
        <item x="680"/>
        <item x="222"/>
        <item x="718"/>
        <item x="95"/>
        <item x="266"/>
        <item x="91"/>
        <item x="17"/>
        <item x="303"/>
        <item x="756"/>
        <item x="521"/>
        <item x="937"/>
        <item x="500"/>
        <item x="798"/>
        <item x="665"/>
        <item x="72"/>
        <item x="760"/>
        <item x="296"/>
        <item x="788"/>
        <item x="240"/>
        <item x="539"/>
        <item x="694"/>
        <item x="705"/>
        <item x="118"/>
        <item x="687"/>
        <item x="371"/>
        <item x="67"/>
        <item x="227"/>
        <item x="93"/>
        <item x="295"/>
        <item x="400"/>
        <item x="195"/>
        <item x="969"/>
        <item x="343"/>
        <item x="50"/>
        <item x="973"/>
        <item x="399"/>
        <item x="448"/>
        <item x="870"/>
        <item x="196"/>
        <item x="370"/>
        <item x="594"/>
        <item x="926"/>
        <item x="94"/>
        <item x="293"/>
        <item x="9"/>
        <item x="433"/>
        <item x="775"/>
        <item x="786"/>
        <item x="605"/>
        <item x="892"/>
        <item x="221"/>
        <item x="485"/>
        <item x="54"/>
        <item x="666"/>
        <item x="313"/>
        <item x="589"/>
        <item x="259"/>
        <item x="219"/>
        <item x="193"/>
        <item x="449"/>
        <item x="154"/>
        <item x="98"/>
        <item x="966"/>
        <item x="101"/>
        <item x="438"/>
        <item x="868"/>
        <item x="820"/>
        <item x="494"/>
        <item x="518"/>
        <item x="203"/>
        <item x="367"/>
        <item x="127"/>
        <item x="712"/>
        <item x="778"/>
        <item x="971"/>
        <item x="981"/>
        <item x="574"/>
        <item x="439"/>
        <item x="110"/>
        <item x="840"/>
        <item x="869"/>
        <item x="793"/>
        <item x="394"/>
        <item x="779"/>
        <item x="866"/>
        <item x="982"/>
        <item x="256"/>
        <item x="653"/>
        <item x="875"/>
        <item x="750"/>
        <item x="48"/>
        <item x="772"/>
        <item x="916"/>
        <item x="304"/>
        <item x="587"/>
        <item x="329"/>
        <item x="914"/>
        <item x="972"/>
        <item x="883"/>
        <item x="354"/>
        <item x="833"/>
        <item x="37"/>
        <item x="323"/>
        <item x="316"/>
        <item x="29"/>
        <item x="87"/>
        <item x="960"/>
        <item x="733"/>
        <item x="506"/>
        <item x="956"/>
        <item x="517"/>
        <item x="301"/>
        <item x="442"/>
        <item x="855"/>
        <item x="813"/>
        <item x="78"/>
        <item x="417"/>
        <item x="645"/>
        <item x="965"/>
        <item x="888"/>
        <item x="558"/>
        <item x="380"/>
        <item x="674"/>
        <item x="695"/>
        <item x="544"/>
        <item x="946"/>
        <item x="582"/>
        <item x="158"/>
        <item x="351"/>
        <item x="929"/>
        <item x="747"/>
        <item x="945"/>
        <item x="536"/>
        <item x="398"/>
        <item x="388"/>
        <item x="889"/>
        <item x="51"/>
        <item x="387"/>
        <item x="381"/>
        <item x="408"/>
        <item x="89"/>
        <item x="161"/>
        <item x="804"/>
        <item x="125"/>
        <item x="873"/>
        <item x="715"/>
        <item x="739"/>
        <item x="175"/>
        <item x="524"/>
        <item x="285"/>
        <item x="382"/>
        <item x="893"/>
        <item x="752"/>
        <item x="228"/>
        <item x="192"/>
        <item x="614"/>
        <item x="768"/>
        <item x="64"/>
        <item x="393"/>
        <item x="312"/>
        <item x="765"/>
        <item x="633"/>
        <item x="881"/>
        <item x="426"/>
        <item x="241"/>
        <item x="139"/>
        <item x="545"/>
        <item x="975"/>
        <item x="473"/>
        <item x="411"/>
        <item x="907"/>
        <item x="573"/>
        <item x="671"/>
        <item x="27"/>
        <item x="684"/>
        <item x="948"/>
        <item x="525"/>
        <item x="131"/>
        <item x="404"/>
        <item x="440"/>
        <item x="819"/>
        <item x="959"/>
        <item x="299"/>
        <item x="462"/>
        <item x="233"/>
        <item x="476"/>
        <item x="418"/>
        <item x="477"/>
        <item x="217"/>
        <item x="365"/>
        <item x="30"/>
        <item x="144"/>
        <item x="925"/>
        <item x="337"/>
        <item x="341"/>
        <item x="377"/>
        <item x="413"/>
        <item x="7"/>
        <item x="736"/>
        <item x="210"/>
        <item x="809"/>
        <item x="764"/>
        <item x="619"/>
        <item x="405"/>
        <item x="770"/>
        <item x="522"/>
        <item x="745"/>
        <item x="311"/>
        <item x="723"/>
        <item x="693"/>
        <item x="766"/>
        <item x="13"/>
        <item x="62"/>
        <item x="320"/>
        <item x="861"/>
        <item x="639"/>
        <item x="600"/>
        <item x="79"/>
        <item x="728"/>
        <item x="429"/>
        <item x="199"/>
        <item x="86"/>
        <item x="616"/>
        <item x="297"/>
        <item x="543"/>
        <item x="631"/>
        <item x="310"/>
        <item x="268"/>
        <item x="198"/>
        <item x="226"/>
        <item x="444"/>
        <item x="629"/>
        <item x="481"/>
        <item x="601"/>
        <item x="488"/>
        <item x="810"/>
        <item x="944"/>
        <item x="47"/>
        <item x="595"/>
        <item x="308"/>
        <item x="276"/>
        <item x="281"/>
        <item x="930"/>
        <item x="458"/>
        <item x="155"/>
        <item x="576"/>
        <item x="453"/>
        <item x="839"/>
        <item x="437"/>
        <item x="197"/>
        <item x="880"/>
        <item x="172"/>
        <item x="837"/>
        <item x="901"/>
        <item x="540"/>
        <item x="841"/>
        <item x="80"/>
        <item x="216"/>
        <item t="default"/>
      </items>
    </pivotField>
    <pivotField showAll="0">
      <items count="16">
        <item x="11"/>
        <item x="0"/>
        <item x="13"/>
        <item x="3"/>
        <item x="2"/>
        <item x="7"/>
        <item x="4"/>
        <item x="6"/>
        <item x="1"/>
        <item x="10"/>
        <item x="9"/>
        <item x="5"/>
        <item x="14"/>
        <item x="12"/>
        <item x="8"/>
        <item t="default"/>
      </items>
    </pivotField>
    <pivotField dataField="1" showAll="0">
      <items count="999">
        <item x="645"/>
        <item x="620"/>
        <item x="359"/>
        <item x="10"/>
        <item x="43"/>
        <item x="716"/>
        <item x="137"/>
        <item x="392"/>
        <item x="794"/>
        <item x="245"/>
        <item x="316"/>
        <item x="692"/>
        <item x="771"/>
        <item x="885"/>
        <item x="45"/>
        <item x="474"/>
        <item x="611"/>
        <item x="129"/>
        <item x="336"/>
        <item x="788"/>
        <item x="543"/>
        <item x="208"/>
        <item x="334"/>
        <item x="55"/>
        <item x="587"/>
        <item x="448"/>
        <item x="168"/>
        <item x="70"/>
        <item x="141"/>
        <item x="113"/>
        <item x="235"/>
        <item x="741"/>
        <item x="661"/>
        <item x="309"/>
        <item x="124"/>
        <item x="775"/>
        <item x="946"/>
        <item x="23"/>
        <item x="957"/>
        <item x="258"/>
        <item x="677"/>
        <item x="841"/>
        <item x="899"/>
        <item x="58"/>
        <item x="525"/>
        <item x="153"/>
        <item x="513"/>
        <item x="660"/>
        <item x="103"/>
        <item x="799"/>
        <item x="937"/>
        <item x="925"/>
        <item x="187"/>
        <item x="236"/>
        <item x="894"/>
        <item x="188"/>
        <item x="978"/>
        <item x="948"/>
        <item x="824"/>
        <item x="989"/>
        <item x="266"/>
        <item x="910"/>
        <item x="399"/>
        <item x="83"/>
        <item x="434"/>
        <item x="376"/>
        <item x="730"/>
        <item x="432"/>
        <item x="255"/>
        <item x="443"/>
        <item x="666"/>
        <item x="500"/>
        <item x="735"/>
        <item x="25"/>
        <item x="864"/>
        <item x="685"/>
        <item x="640"/>
        <item x="378"/>
        <item x="764"/>
        <item x="918"/>
        <item x="744"/>
        <item x="186"/>
        <item x="613"/>
        <item x="6"/>
        <item x="404"/>
        <item x="249"/>
        <item x="988"/>
        <item x="371"/>
        <item x="494"/>
        <item x="38"/>
        <item x="942"/>
        <item x="3"/>
        <item x="368"/>
        <item x="169"/>
        <item x="812"/>
        <item x="28"/>
        <item x="184"/>
        <item x="213"/>
        <item x="733"/>
        <item x="19"/>
        <item x="360"/>
        <item x="583"/>
        <item x="985"/>
        <item x="165"/>
        <item x="277"/>
        <item x="965"/>
        <item x="463"/>
        <item x="147"/>
        <item x="964"/>
        <item x="693"/>
        <item x="84"/>
        <item x="393"/>
        <item x="765"/>
        <item x="549"/>
        <item x="944"/>
        <item x="840"/>
        <item x="272"/>
        <item x="457"/>
        <item x="344"/>
        <item x="162"/>
        <item x="386"/>
        <item x="528"/>
        <item x="152"/>
        <item x="76"/>
        <item x="672"/>
        <item x="604"/>
        <item x="71"/>
        <item x="564"/>
        <item x="930"/>
        <item x="351"/>
        <item x="436"/>
        <item x="572"/>
        <item x="963"/>
        <item x="453"/>
        <item x="250"/>
        <item x="355"/>
        <item x="590"/>
        <item x="865"/>
        <item x="928"/>
        <item x="262"/>
        <item x="132"/>
        <item x="523"/>
        <item x="97"/>
        <item x="863"/>
        <item x="763"/>
        <item x="906"/>
        <item x="914"/>
        <item x="244"/>
        <item x="689"/>
        <item x="536"/>
        <item x="195"/>
        <item x="345"/>
        <item x="438"/>
        <item x="866"/>
        <item x="836"/>
        <item x="361"/>
        <item x="591"/>
        <item x="876"/>
        <item x="119"/>
        <item x="229"/>
        <item x="847"/>
        <item x="421"/>
        <item x="493"/>
        <item x="873"/>
        <item x="308"/>
        <item x="973"/>
        <item x="2"/>
        <item x="680"/>
        <item x="74"/>
        <item x="627"/>
        <item x="458"/>
        <item x="444"/>
        <item x="5"/>
        <item x="418"/>
        <item x="854"/>
        <item x="333"/>
        <item x="751"/>
        <item x="291"/>
        <item x="151"/>
        <item x="923"/>
        <item x="939"/>
        <item x="913"/>
        <item x="346"/>
        <item x="231"/>
        <item x="175"/>
        <item x="922"/>
        <item x="417"/>
        <item x="1"/>
        <item x="428"/>
        <item x="503"/>
        <item x="475"/>
        <item x="708"/>
        <item x="501"/>
        <item x="713"/>
        <item x="36"/>
        <item x="320"/>
        <item x="504"/>
        <item x="630"/>
        <item x="912"/>
        <item x="975"/>
        <item x="191"/>
        <item x="574"/>
        <item x="734"/>
        <item x="77"/>
        <item x="797"/>
        <item x="122"/>
        <item x="829"/>
        <item x="608"/>
        <item x="327"/>
        <item x="446"/>
        <item x="705"/>
        <item x="954"/>
        <item x="354"/>
        <item x="182"/>
        <item x="42"/>
        <item x="718"/>
        <item x="194"/>
        <item x="21"/>
        <item x="813"/>
        <item x="728"/>
        <item x="452"/>
        <item x="285"/>
        <item x="738"/>
        <item x="712"/>
        <item x="610"/>
        <item x="264"/>
        <item x="130"/>
        <item x="643"/>
        <item x="817"/>
        <item x="211"/>
        <item x="636"/>
        <item x="0"/>
        <item x="60"/>
        <item x="116"/>
        <item x="477"/>
        <item x="32"/>
        <item x="729"/>
        <item x="860"/>
        <item x="140"/>
        <item x="289"/>
        <item x="337"/>
        <item x="806"/>
        <item x="44"/>
        <item x="90"/>
        <item x="832"/>
        <item x="539"/>
        <item x="664"/>
        <item x="723"/>
        <item x="938"/>
        <item x="465"/>
        <item x="858"/>
        <item x="522"/>
        <item x="105"/>
        <item x="183"/>
        <item x="148"/>
        <item x="269"/>
        <item x="995"/>
        <item x="570"/>
        <item x="49"/>
        <item x="760"/>
        <item x="143"/>
        <item x="582"/>
        <item x="900"/>
        <item x="338"/>
        <item x="209"/>
        <item x="715"/>
        <item x="544"/>
        <item x="467"/>
        <item x="224"/>
        <item x="869"/>
        <item x="895"/>
        <item x="65"/>
        <item x="107"/>
        <item x="745"/>
        <item x="157"/>
        <item x="787"/>
        <item x="969"/>
        <item x="173"/>
        <item x="916"/>
        <item x="362"/>
        <item x="919"/>
        <item x="39"/>
        <item x="290"/>
        <item x="433"/>
        <item x="882"/>
        <item x="795"/>
        <item x="657"/>
        <item x="905"/>
        <item x="950"/>
        <item x="516"/>
        <item x="901"/>
        <item x="4"/>
        <item x="773"/>
        <item x="22"/>
        <item x="81"/>
        <item x="128"/>
        <item x="66"/>
        <item x="164"/>
        <item x="853"/>
        <item x="466"/>
        <item x="485"/>
        <item x="17"/>
        <item x="20"/>
        <item x="579"/>
        <item x="793"/>
        <item x="703"/>
        <item x="408"/>
        <item x="669"/>
        <item x="114"/>
        <item x="810"/>
        <item x="934"/>
        <item x="752"/>
        <item x="247"/>
        <item x="902"/>
        <item x="805"/>
        <item x="594"/>
        <item x="532"/>
        <item x="638"/>
        <item x="239"/>
        <item x="781"/>
        <item x="104"/>
        <item x="520"/>
        <item x="908"/>
        <item x="650"/>
        <item x="176"/>
        <item x="499"/>
        <item x="548"/>
        <item x="892"/>
        <item x="784"/>
        <item x="822"/>
        <item x="679"/>
        <item x="642"/>
        <item x="495"/>
        <item x="85"/>
        <item x="651"/>
        <item x="941"/>
        <item x="971"/>
        <item x="782"/>
        <item x="700"/>
        <item x="600"/>
        <item x="470"/>
        <item x="46"/>
        <item x="896"/>
        <item x="990"/>
        <item x="108"/>
        <item x="830"/>
        <item x="732"/>
        <item x="389"/>
        <item x="809"/>
        <item x="110"/>
        <item x="212"/>
        <item x="768"/>
        <item x="53"/>
        <item x="241"/>
        <item x="909"/>
        <item x="575"/>
        <item x="347"/>
        <item x="959"/>
        <item x="559"/>
        <item x="709"/>
        <item x="288"/>
        <item x="931"/>
        <item x="479"/>
        <item x="981"/>
        <item x="662"/>
        <item x="767"/>
        <item x="407"/>
        <item x="774"/>
        <item x="644"/>
        <item x="945"/>
        <item x="246"/>
        <item x="769"/>
        <item x="615"/>
        <item x="482"/>
        <item x="514"/>
        <item x="915"/>
        <item x="370"/>
        <item x="625"/>
        <item x="823"/>
        <item x="561"/>
        <item x="490"/>
        <item x="388"/>
        <item x="622"/>
        <item x="943"/>
        <item x="492"/>
        <item x="807"/>
        <item x="82"/>
        <item x="120"/>
        <item x="688"/>
        <item x="180"/>
        <item x="586"/>
        <item x="951"/>
        <item x="462"/>
        <item x="857"/>
        <item x="927"/>
        <item x="159"/>
        <item x="997"/>
        <item x="699"/>
        <item x="294"/>
        <item x="850"/>
        <item x="480"/>
        <item x="115"/>
        <item x="126"/>
        <item x="341"/>
        <item x="870"/>
        <item x="26"/>
        <item x="510"/>
        <item x="365"/>
        <item x="276"/>
        <item x="849"/>
        <item x="204"/>
        <item x="624"/>
        <item x="663"/>
        <item x="571"/>
        <item x="953"/>
        <item x="818"/>
        <item x="207"/>
        <item x="551"/>
        <item x="136"/>
        <item x="329"/>
        <item x="759"/>
        <item x="803"/>
        <item x="72"/>
        <item x="240"/>
        <item x="279"/>
        <item x="601"/>
        <item x="50"/>
        <item x="785"/>
        <item x="449"/>
        <item x="366"/>
        <item x="381"/>
        <item x="779"/>
        <item x="498"/>
        <item x="821"/>
        <item x="261"/>
        <item x="193"/>
        <item x="357"/>
        <item x="893"/>
        <item x="968"/>
        <item x="887"/>
        <item x="202"/>
        <item x="714"/>
        <item x="844"/>
        <item x="665"/>
        <item x="798"/>
        <item x="257"/>
        <item x="138"/>
        <item x="223"/>
        <item x="996"/>
        <item x="414"/>
        <item x="387"/>
        <item x="674"/>
        <item x="87"/>
        <item x="770"/>
        <item x="749"/>
        <item x="819"/>
        <item x="588"/>
        <item x="879"/>
        <item x="349"/>
        <item x="859"/>
        <item x="398"/>
        <item x="390"/>
        <item x="897"/>
        <item x="41"/>
        <item x="220"/>
        <item x="811"/>
        <item x="314"/>
        <item x="437"/>
        <item x="33"/>
        <item x="796"/>
        <item x="52"/>
        <item x="555"/>
        <item x="201"/>
        <item x="214"/>
        <item x="69"/>
        <item x="375"/>
        <item x="142"/>
        <item x="825"/>
        <item x="307"/>
        <item x="424"/>
        <item x="972"/>
        <item x="230"/>
        <item x="170"/>
        <item x="653"/>
        <item x="698"/>
        <item x="524"/>
        <item x="265"/>
        <item x="348"/>
        <item x="748"/>
        <item x="488"/>
        <item x="380"/>
        <item x="711"/>
        <item x="96"/>
        <item x="481"/>
        <item x="218"/>
        <item x="252"/>
        <item x="267"/>
        <item x="553"/>
        <item x="24"/>
        <item x="270"/>
        <item x="123"/>
        <item x="278"/>
        <item x="150"/>
        <item x="75"/>
        <item x="117"/>
        <item x="155"/>
        <item x="585"/>
        <item x="846"/>
        <item x="271"/>
        <item x="14"/>
        <item x="172"/>
        <item x="225"/>
        <item x="867"/>
        <item x="979"/>
        <item x="181"/>
        <item x="568"/>
        <item x="11"/>
        <item x="614"/>
        <item x="626"/>
        <item x="808"/>
        <item x="358"/>
        <item x="232"/>
        <item x="450"/>
        <item x="719"/>
        <item x="721"/>
        <item x="828"/>
        <item x="737"/>
        <item x="234"/>
        <item x="219"/>
        <item x="321"/>
        <item x="340"/>
        <item x="342"/>
        <item x="920"/>
        <item x="440"/>
        <item x="256"/>
        <item x="801"/>
        <item x="454"/>
        <item x="363"/>
        <item x="654"/>
        <item x="296"/>
        <item x="761"/>
        <item x="704"/>
        <item x="484"/>
        <item x="396"/>
        <item x="251"/>
        <item x="61"/>
        <item x="758"/>
        <item x="537"/>
        <item x="405"/>
        <item x="722"/>
        <item x="926"/>
        <item x="856"/>
        <item x="983"/>
        <item x="34"/>
        <item x="515"/>
        <item x="506"/>
        <item x="397"/>
        <item x="391"/>
        <item x="374"/>
        <item x="656"/>
        <item x="459"/>
        <item x="907"/>
        <item x="629"/>
        <item x="192"/>
        <item x="550"/>
        <item x="681"/>
        <item x="702"/>
        <item x="215"/>
        <item x="411"/>
        <item x="898"/>
        <item x="178"/>
        <item x="18"/>
        <item x="628"/>
        <item x="304"/>
        <item x="556"/>
        <item x="958"/>
        <item x="426"/>
        <item x="210"/>
        <item x="683"/>
        <item x="569"/>
        <item x="268"/>
        <item x="111"/>
        <item x="646"/>
        <item x="102"/>
        <item x="100"/>
        <item x="535"/>
        <item x="577"/>
        <item x="412"/>
        <item x="743"/>
        <item x="292"/>
        <item x="156"/>
        <item x="133"/>
        <item x="206"/>
        <item x="612"/>
        <item x="286"/>
        <item x="984"/>
        <item x="802"/>
        <item x="425"/>
        <item x="994"/>
        <item x="936"/>
        <item x="754"/>
        <item x="874"/>
        <item x="684"/>
        <item x="791"/>
        <item x="949"/>
        <item x="637"/>
        <item x="447"/>
        <item x="451"/>
        <item x="112"/>
        <item x="890"/>
        <item x="101"/>
        <item x="872"/>
        <item x="690"/>
        <item x="623"/>
        <item x="385"/>
        <item x="127"/>
        <item x="238"/>
        <item x="675"/>
        <item x="786"/>
        <item x="581"/>
        <item x="332"/>
        <item x="468"/>
        <item x="701"/>
        <item x="932"/>
        <item x="456"/>
        <item x="658"/>
        <item x="842"/>
        <item x="533"/>
        <item x="519"/>
        <item x="200"/>
        <item x="8"/>
        <item x="580"/>
        <item x="73"/>
        <item x="956"/>
        <item x="838"/>
        <item x="328"/>
        <item x="134"/>
        <item x="804"/>
        <item x="317"/>
        <item x="955"/>
        <item x="177"/>
        <item x="12"/>
        <item x="489"/>
        <item x="565"/>
        <item x="472"/>
        <item x="146"/>
        <item x="430"/>
        <item x="377"/>
        <item x="966"/>
        <item x="423"/>
        <item x="855"/>
        <item x="394"/>
        <item x="947"/>
        <item x="530"/>
        <item x="667"/>
        <item x="724"/>
        <item x="429"/>
        <item x="687"/>
        <item x="237"/>
        <item x="726"/>
        <item x="800"/>
        <item x="933"/>
        <item x="670"/>
        <item x="619"/>
        <item x="921"/>
        <item x="274"/>
        <item x="79"/>
        <item x="518"/>
        <item x="299"/>
        <item x="511"/>
        <item x="517"/>
        <item x="63"/>
        <item x="275"/>
        <item x="886"/>
        <item x="455"/>
        <item x="706"/>
        <item x="766"/>
        <item x="216"/>
        <item x="993"/>
        <item x="403"/>
        <item x="106"/>
        <item x="512"/>
        <item x="149"/>
        <item x="762"/>
        <item x="242"/>
        <item x="160"/>
        <item x="676"/>
        <item x="671"/>
        <item x="649"/>
        <item x="710"/>
        <item x="469"/>
        <item x="991"/>
        <item x="16"/>
        <item x="678"/>
        <item x="755"/>
        <item x="696"/>
        <item x="471"/>
        <item x="652"/>
        <item x="746"/>
        <item x="889"/>
        <item x="145"/>
        <item x="323"/>
        <item x="980"/>
        <item x="121"/>
        <item x="845"/>
        <item x="529"/>
        <item x="352"/>
        <item x="68"/>
        <item x="596"/>
        <item x="837"/>
        <item x="756"/>
        <item x="904"/>
        <item x="324"/>
        <item x="367"/>
        <item x="757"/>
        <item x="599"/>
        <item x="98"/>
        <item x="727"/>
        <item x="31"/>
        <item x="777"/>
        <item x="15"/>
        <item x="445"/>
        <item x="13"/>
        <item x="659"/>
        <item x="634"/>
        <item x="884"/>
        <item x="558"/>
        <item x="135"/>
        <item x="790"/>
        <item x="631"/>
        <item x="827"/>
        <item x="605"/>
        <item x="461"/>
        <item x="833"/>
        <item x="578"/>
        <item x="820"/>
        <item x="960"/>
        <item x="303"/>
        <item x="851"/>
        <item x="875"/>
        <item x="554"/>
        <item x="647"/>
        <item x="573"/>
        <item x="502"/>
        <item x="929"/>
        <item x="253"/>
        <item x="538"/>
        <item x="707"/>
        <item x="416"/>
        <item x="163"/>
        <item x="691"/>
        <item x="694"/>
        <item x="592"/>
        <item x="190"/>
        <item x="552"/>
        <item x="835"/>
        <item x="196"/>
        <item x="772"/>
        <item x="435"/>
        <item x="917"/>
        <item x="977"/>
        <item x="233"/>
        <item x="369"/>
        <item x="557"/>
        <item x="30"/>
        <item x="280"/>
        <item x="92"/>
        <item x="364"/>
        <item x="109"/>
        <item x="35"/>
        <item x="639"/>
        <item x="962"/>
        <item x="313"/>
        <item x="205"/>
        <item x="189"/>
        <item x="254"/>
        <item x="682"/>
        <item x="305"/>
        <item x="37"/>
        <item x="815"/>
        <item x="298"/>
        <item x="293"/>
        <item x="310"/>
        <item x="439"/>
        <item x="382"/>
        <item x="632"/>
        <item x="697"/>
        <item x="961"/>
        <item x="99"/>
        <item x="335"/>
        <item x="747"/>
        <item x="778"/>
        <item x="534"/>
        <item x="295"/>
        <item x="486"/>
        <item x="228"/>
        <item x="780"/>
        <item x="54"/>
        <item x="174"/>
        <item x="350"/>
        <item x="311"/>
        <item x="167"/>
        <item x="300"/>
        <item x="413"/>
        <item x="617"/>
        <item x="422"/>
        <item x="166"/>
        <item x="740"/>
        <item x="497"/>
        <item x="284"/>
        <item x="88"/>
        <item x="621"/>
        <item x="720"/>
        <item x="427"/>
        <item x="282"/>
        <item x="476"/>
        <item x="861"/>
        <item x="243"/>
        <item x="567"/>
        <item x="967"/>
        <item x="67"/>
        <item x="606"/>
        <item x="227"/>
        <item x="871"/>
        <item x="402"/>
        <item x="974"/>
        <item x="198"/>
        <item x="789"/>
        <item x="263"/>
        <item x="401"/>
        <item x="94"/>
        <item x="940"/>
        <item x="521"/>
        <item x="197"/>
        <item x="648"/>
        <item x="302"/>
        <item x="509"/>
        <item x="384"/>
        <item x="259"/>
        <item x="273"/>
        <item x="826"/>
        <item x="783"/>
        <item x="952"/>
        <item x="880"/>
        <item x="339"/>
        <item x="379"/>
        <item x="330"/>
        <item x="814"/>
        <item x="924"/>
        <item x="595"/>
        <item x="373"/>
        <item x="29"/>
        <item x="297"/>
        <item x="326"/>
        <item x="62"/>
        <item x="322"/>
        <item x="531"/>
        <item x="862"/>
        <item x="372"/>
        <item x="78"/>
        <item x="563"/>
        <item x="473"/>
        <item x="566"/>
        <item x="40"/>
        <item x="507"/>
        <item x="483"/>
        <item x="603"/>
        <item x="816"/>
        <item x="51"/>
        <item x="852"/>
        <item x="562"/>
        <item x="717"/>
        <item x="982"/>
        <item x="635"/>
        <item x="987"/>
        <item x="95"/>
        <item x="91"/>
        <item x="409"/>
        <item x="59"/>
        <item x="655"/>
        <item x="131"/>
        <item x="118"/>
        <item x="171"/>
        <item x="301"/>
        <item x="248"/>
        <item x="356"/>
        <item x="325"/>
        <item x="736"/>
        <item x="831"/>
        <item x="792"/>
        <item x="281"/>
        <item x="9"/>
        <item x="57"/>
        <item x="179"/>
        <item x="353"/>
        <item x="56"/>
        <item x="505"/>
        <item x="319"/>
        <item x="881"/>
        <item x="203"/>
        <item x="598"/>
        <item x="222"/>
        <item x="441"/>
        <item x="185"/>
        <item x="848"/>
        <item x="541"/>
        <item x="986"/>
        <item x="609"/>
        <item x="27"/>
        <item x="593"/>
        <item x="442"/>
        <item x="839"/>
        <item x="318"/>
        <item x="834"/>
        <item x="415"/>
        <item x="668"/>
        <item x="315"/>
        <item x="560"/>
        <item x="584"/>
        <item x="158"/>
        <item x="725"/>
        <item x="540"/>
        <item x="400"/>
        <item x="618"/>
        <item x="576"/>
        <item x="903"/>
        <item x="93"/>
        <item x="911"/>
        <item x="542"/>
        <item x="673"/>
        <item x="589"/>
        <item x="878"/>
        <item x="491"/>
        <item x="686"/>
        <item x="406"/>
        <item x="260"/>
        <item x="221"/>
        <item x="478"/>
        <item x="935"/>
        <item x="7"/>
        <item x="739"/>
        <item x="976"/>
        <item x="546"/>
        <item x="992"/>
        <item x="383"/>
        <item x="731"/>
        <item x="125"/>
        <item x="431"/>
        <item x="287"/>
        <item x="64"/>
        <item x="139"/>
        <item x="547"/>
        <item x="597"/>
        <item x="306"/>
        <item x="331"/>
        <item x="607"/>
        <item x="888"/>
        <item x="843"/>
        <item x="487"/>
        <item x="527"/>
        <item x="464"/>
        <item x="154"/>
        <item x="144"/>
        <item x="343"/>
        <item x="496"/>
        <item x="750"/>
        <item x="877"/>
        <item x="410"/>
        <item x="883"/>
        <item x="753"/>
        <item x="395"/>
        <item x="312"/>
        <item x="48"/>
        <item x="776"/>
        <item x="891"/>
        <item x="460"/>
        <item x="508"/>
        <item x="80"/>
        <item x="970"/>
        <item x="419"/>
        <item x="89"/>
        <item x="161"/>
        <item x="742"/>
        <item x="695"/>
        <item x="526"/>
        <item x="602"/>
        <item x="616"/>
        <item x="47"/>
        <item x="420"/>
        <item x="217"/>
        <item x="868"/>
        <item x="641"/>
        <item x="199"/>
        <item x="86"/>
        <item x="545"/>
        <item x="633"/>
        <item x="226"/>
        <item x="283"/>
        <item t="default"/>
      </items>
    </pivotField>
    <pivotField showAll="0">
      <items count="32">
        <item x="8"/>
        <item x="2"/>
        <item x="18"/>
        <item x="12"/>
        <item x="29"/>
        <item x="4"/>
        <item x="11"/>
        <item x="13"/>
        <item x="14"/>
        <item x="25"/>
        <item x="20"/>
        <item x="1"/>
        <item x="22"/>
        <item x="6"/>
        <item x="3"/>
        <item x="27"/>
        <item x="16"/>
        <item x="7"/>
        <item x="23"/>
        <item x="19"/>
        <item x="21"/>
        <item x="24"/>
        <item x="28"/>
        <item x="0"/>
        <item x="9"/>
        <item x="15"/>
        <item x="10"/>
        <item x="17"/>
        <item x="5"/>
        <item x="26"/>
        <item x="30"/>
        <item t="default"/>
      </items>
    </pivotField>
    <pivotField showAll="0">
      <items count="991">
        <item x="198"/>
        <item x="870"/>
        <item x="836"/>
        <item x="749"/>
        <item x="729"/>
        <item x="408"/>
        <item x="221"/>
        <item x="671"/>
        <item x="545"/>
        <item x="178"/>
        <item x="407"/>
        <item x="808"/>
        <item x="337"/>
        <item x="439"/>
        <item x="139"/>
        <item x="543"/>
        <item x="525"/>
        <item x="666"/>
        <item x="418"/>
        <item x="538"/>
        <item x="163"/>
        <item x="125"/>
        <item x="955"/>
        <item x="979"/>
        <item x="574"/>
        <item x="131"/>
        <item x="420"/>
        <item x="317"/>
        <item x="723"/>
        <item x="323"/>
        <item x="202"/>
        <item x="877"/>
        <item x="767"/>
        <item x="933"/>
        <item x="380"/>
        <item x="216"/>
        <item x="56"/>
        <item x="657"/>
        <item x="154"/>
        <item x="882"/>
        <item x="467"/>
        <item x="970"/>
        <item x="903"/>
        <item x="695"/>
        <item x="984"/>
        <item x="773"/>
        <item x="252"/>
        <item x="556"/>
        <item x="591"/>
        <item x="215"/>
        <item x="693"/>
        <item x="414"/>
        <item x="786"/>
        <item x="393"/>
        <item x="274"/>
        <item x="149"/>
        <item x="942"/>
        <item x="809"/>
        <item x="94"/>
        <item x="399"/>
        <item x="539"/>
        <item x="57"/>
        <item x="226"/>
        <item x="519"/>
        <item x="682"/>
        <item x="868"/>
        <item x="297"/>
        <item x="204"/>
        <item x="232"/>
        <item x="37"/>
        <item x="40"/>
        <item x="329"/>
        <item x="189"/>
        <item x="845"/>
        <item x="820"/>
        <item x="184"/>
        <item x="79"/>
        <item x="160"/>
        <item x="673"/>
        <item x="605"/>
        <item x="536"/>
        <item x="607"/>
        <item x="561"/>
        <item x="309"/>
        <item x="813"/>
        <item x="176"/>
        <item x="62"/>
        <item x="653"/>
        <item x="704"/>
        <item x="64"/>
        <item x="951"/>
        <item x="197"/>
        <item x="883"/>
        <item x="619"/>
        <item x="700"/>
        <item x="145"/>
        <item x="743"/>
        <item x="551"/>
        <item x="48"/>
        <item x="827"/>
        <item x="13"/>
        <item x="509"/>
        <item x="922"/>
        <item x="960"/>
        <item x="864"/>
        <item x="445"/>
        <item x="195"/>
        <item x="68"/>
        <item x="469"/>
        <item x="886"/>
        <item x="854"/>
        <item x="479"/>
        <item x="9"/>
        <item x="133"/>
        <item x="466"/>
        <item x="872"/>
        <item x="504"/>
        <item x="555"/>
        <item x="680"/>
        <item x="510"/>
        <item x="627"/>
        <item x="489"/>
        <item x="645"/>
        <item x="895"/>
        <item x="508"/>
        <item x="126"/>
        <item x="579"/>
        <item x="326"/>
        <item x="651"/>
        <item x="356"/>
        <item x="975"/>
        <item x="734"/>
        <item x="69"/>
        <item x="896"/>
        <item x="255"/>
        <item x="315"/>
        <item x="566"/>
        <item x="159"/>
        <item x="106"/>
        <item x="818"/>
        <item x="795"/>
        <item x="474"/>
        <item x="860"/>
        <item x="270"/>
        <item x="705"/>
        <item x="438"/>
        <item x="595"/>
        <item x="963"/>
        <item x="676"/>
        <item x="646"/>
        <item x="985"/>
        <item x="462"/>
        <item x="688"/>
        <item x="928"/>
        <item x="819"/>
        <item x="218"/>
        <item x="615"/>
        <item x="849"/>
        <item x="269"/>
        <item x="793"/>
        <item x="533"/>
        <item x="601"/>
        <item x="371"/>
        <item x="550"/>
        <item x="674"/>
        <item x="945"/>
        <item x="150"/>
        <item x="798"/>
        <item x="272"/>
        <item x="603"/>
        <item x="403"/>
        <item x="612"/>
        <item x="464"/>
        <item x="27"/>
        <item x="322"/>
        <item x="34"/>
        <item x="559"/>
        <item x="110"/>
        <item x="192"/>
        <item x="278"/>
        <item x="661"/>
        <item x="75"/>
        <item x="312"/>
        <item x="203"/>
        <item x="421"/>
        <item x="598"/>
        <item x="396"/>
        <item x="231"/>
        <item x="880"/>
        <item x="454"/>
        <item x="294"/>
        <item x="483"/>
        <item x="41"/>
        <item x="440"/>
        <item x="11"/>
        <item x="677"/>
        <item x="339"/>
        <item x="167"/>
        <item x="718"/>
        <item x="863"/>
        <item x="351"/>
        <item x="750"/>
        <item x="724"/>
        <item x="101"/>
        <item x="969"/>
        <item x="143"/>
        <item x="346"/>
        <item x="814"/>
        <item x="697"/>
        <item x="730"/>
        <item x="696"/>
        <item x="67"/>
        <item x="348"/>
        <item x="838"/>
        <item x="382"/>
        <item x="755"/>
        <item x="39"/>
        <item x="641"/>
        <item x="740"/>
        <item x="283"/>
        <item x="972"/>
        <item x="781"/>
        <item x="564"/>
        <item x="260"/>
        <item x="460"/>
        <item x="974"/>
        <item x="810"/>
        <item x="310"/>
        <item x="179"/>
        <item x="964"/>
        <item x="520"/>
        <item x="379"/>
        <item x="118"/>
        <item x="978"/>
        <item x="893"/>
        <item x="497"/>
        <item x="74"/>
        <item x="962"/>
        <item x="649"/>
        <item x="201"/>
        <item x="594"/>
        <item x="388"/>
        <item x="0"/>
        <item x="899"/>
        <item x="782"/>
        <item x="548"/>
        <item x="917"/>
        <item x="5"/>
        <item x="823"/>
        <item x="51"/>
        <item x="433"/>
        <item x="331"/>
        <item x="123"/>
        <item x="727"/>
        <item x="535"/>
        <item x="8"/>
        <item x="247"/>
        <item x="576"/>
        <item x="973"/>
        <item x="222"/>
        <item x="629"/>
        <item x="289"/>
        <item x="816"/>
        <item x="46"/>
        <item x="530"/>
        <item x="848"/>
        <item x="471"/>
        <item x="24"/>
        <item x="908"/>
        <item x="506"/>
        <item x="72"/>
        <item x="832"/>
        <item x="709"/>
        <item x="196"/>
        <item x="711"/>
        <item x="298"/>
        <item x="428"/>
        <item x="259"/>
        <item x="624"/>
        <item x="387"/>
        <item x="801"/>
        <item x="140"/>
        <item x="354"/>
        <item x="780"/>
        <item x="116"/>
        <item x="451"/>
        <item x="568"/>
        <item x="401"/>
        <item x="694"/>
        <item x="84"/>
        <item x="237"/>
        <item x="208"/>
        <item x="514"/>
        <item x="534"/>
        <item x="897"/>
        <item x="136"/>
        <item x="785"/>
        <item x="245"/>
        <item x="986"/>
        <item x="562"/>
        <item x="839"/>
        <item x="791"/>
        <item x="249"/>
        <item x="967"/>
        <item x="707"/>
        <item x="638"/>
        <item x="662"/>
        <item x="21"/>
        <item x="395"/>
        <item x="60"/>
        <item x="156"/>
        <item x="120"/>
        <item x="815"/>
        <item x="796"/>
        <item x="907"/>
        <item x="6"/>
        <item x="521"/>
        <item x="685"/>
        <item x="486"/>
        <item x="230"/>
        <item x="522"/>
        <item x="946"/>
        <item x="512"/>
        <item x="264"/>
        <item x="572"/>
        <item x="318"/>
        <item x="842"/>
        <item x="470"/>
        <item x="901"/>
        <item x="288"/>
        <item x="104"/>
        <item x="948"/>
        <item x="650"/>
        <item x="921"/>
        <item x="385"/>
        <item x="492"/>
        <item x="410"/>
        <item x="345"/>
        <item x="981"/>
        <item x="499"/>
        <item x="914"/>
        <item x="748"/>
        <item x="915"/>
        <item x="180"/>
        <item x="713"/>
        <item x="577"/>
        <item x="171"/>
        <item x="879"/>
        <item x="822"/>
        <item x="639"/>
        <item x="463"/>
        <item x="957"/>
        <item x="732"/>
        <item x="787"/>
        <item x="875"/>
        <item x="623"/>
        <item x="223"/>
        <item x="498"/>
        <item x="597"/>
        <item x="441"/>
        <item x="622"/>
        <item x="701"/>
        <item x="910"/>
        <item x="98"/>
        <item x="741"/>
        <item x="271"/>
        <item x="115"/>
        <item x="96"/>
        <item x="754"/>
        <item x="455"/>
        <item x="50"/>
        <item x="779"/>
        <item x="802"/>
        <item x="683"/>
        <item x="83"/>
        <item x="717"/>
        <item x="588"/>
        <item x="721"/>
        <item x="432"/>
        <item x="456"/>
        <item x="76"/>
        <item x="157"/>
        <item x="384"/>
        <item x="888"/>
        <item x="977"/>
        <item x="502"/>
        <item x="920"/>
        <item x="756"/>
        <item x="276"/>
        <item x="32"/>
        <item x="669"/>
        <item x="193"/>
        <item x="424"/>
        <item x="792"/>
        <item x="181"/>
        <item x="902"/>
        <item x="958"/>
        <item x="344"/>
        <item x="174"/>
        <item x="625"/>
        <item x="799"/>
        <item x="911"/>
        <item x="800"/>
        <item x="655"/>
        <item x="664"/>
        <item x="238"/>
        <item x="442"/>
        <item x="65"/>
        <item x="342"/>
        <item x="592"/>
        <item x="874"/>
        <item x="746"/>
        <item x="358"/>
        <item x="687"/>
        <item x="788"/>
        <item x="254"/>
        <item x="857"/>
        <item x="25"/>
        <item x="85"/>
        <item x="840"/>
        <item x="374"/>
        <item x="18"/>
        <item x="431"/>
        <item x="935"/>
        <item x="929"/>
        <item x="708"/>
        <item x="606"/>
        <item x="488"/>
        <item x="850"/>
        <item x="305"/>
        <item x="580"/>
        <item x="172"/>
        <item x="821"/>
        <item x="416"/>
        <item x="265"/>
        <item x="496"/>
        <item x="692"/>
        <item x="426"/>
        <item x="851"/>
        <item x="847"/>
        <item x="570"/>
        <item x="308"/>
        <item x="881"/>
        <item x="465"/>
        <item x="518"/>
        <item x="906"/>
        <item x="49"/>
        <item x="777"/>
        <item x="475"/>
        <item x="366"/>
        <item x="369"/>
        <item x="934"/>
        <item x="44"/>
        <item x="190"/>
        <item x="90"/>
        <item x="797"/>
        <item x="119"/>
        <item x="19"/>
        <item x="402"/>
        <item x="547"/>
        <item x="526"/>
        <item x="349"/>
        <item x="759"/>
        <item x="640"/>
        <item x="461"/>
        <item x="253"/>
        <item x="42"/>
        <item x="937"/>
        <item x="415"/>
        <item x="480"/>
        <item x="762"/>
        <item x="828"/>
        <item x="36"/>
        <item x="656"/>
        <item x="670"/>
        <item x="618"/>
        <item x="943"/>
        <item x="611"/>
        <item x="199"/>
        <item x="760"/>
        <item x="16"/>
        <item x="643"/>
        <item x="182"/>
        <item x="357"/>
        <item x="829"/>
        <item x="812"/>
        <item x="81"/>
        <item x="10"/>
        <item x="165"/>
        <item x="449"/>
        <item x="690"/>
        <item x="137"/>
        <item x="151"/>
        <item x="148"/>
        <item x="244"/>
        <item x="261"/>
        <item x="321"/>
        <item x="563"/>
        <item x="325"/>
        <item x="636"/>
        <item x="314"/>
        <item x="482"/>
        <item x="207"/>
        <item x="944"/>
        <item x="236"/>
        <item x="644"/>
        <item x="988"/>
        <item x="770"/>
        <item x="912"/>
        <item x="307"/>
        <item x="390"/>
        <item x="129"/>
        <item x="472"/>
        <item x="33"/>
        <item x="43"/>
        <item x="714"/>
        <item x="353"/>
        <item x="3"/>
        <item x="334"/>
        <item x="332"/>
        <item x="586"/>
        <item x="444"/>
        <item x="789"/>
        <item x="846"/>
        <item x="585"/>
        <item x="931"/>
        <item x="134"/>
        <item x="672"/>
        <item x="620"/>
        <item x="186"/>
        <item x="904"/>
        <item x="678"/>
        <item x="878"/>
        <item x="541"/>
        <item x="194"/>
        <item x="589"/>
        <item x="936"/>
        <item x="890"/>
        <item x="378"/>
        <item x="738"/>
        <item x="343"/>
        <item x="263"/>
        <item x="477"/>
        <item x="468"/>
        <item x="648"/>
        <item x="490"/>
        <item x="961"/>
        <item x="609"/>
        <item x="783"/>
        <item x="766"/>
        <item x="114"/>
        <item x="859"/>
        <item x="234"/>
        <item x="956"/>
        <item x="436"/>
        <item x="147"/>
        <item x="97"/>
        <item x="45"/>
        <item x="70"/>
        <item x="898"/>
        <item x="675"/>
        <item x="930"/>
        <item x="183"/>
        <item x="918"/>
        <item x="658"/>
        <item x="376"/>
        <item x="869"/>
        <item x="501"/>
        <item x="386"/>
        <item x="905"/>
        <item x="834"/>
        <item x="523"/>
        <item x="537"/>
        <item x="941"/>
        <item x="162"/>
        <item x="102"/>
        <item x="728"/>
        <item x="804"/>
        <item x="187"/>
        <item x="185"/>
        <item x="794"/>
        <item x="228"/>
        <item x="152"/>
        <item x="117"/>
        <item x="866"/>
        <item x="950"/>
        <item x="966"/>
        <item x="100"/>
        <item x="491"/>
        <item x="273"/>
        <item x="938"/>
        <item x="38"/>
        <item x="141"/>
        <item x="391"/>
        <item x="634"/>
        <item x="124"/>
        <item x="817"/>
        <item x="23"/>
        <item x="58"/>
        <item x="726"/>
        <item x="161"/>
        <item x="833"/>
        <item x="248"/>
        <item x="103"/>
        <item x="277"/>
        <item x="233"/>
        <item x="965"/>
        <item x="360"/>
        <item x="406"/>
        <item x="55"/>
        <item x="635"/>
        <item x="397"/>
        <item x="336"/>
        <item x="939"/>
        <item x="128"/>
        <item x="446"/>
        <item x="691"/>
        <item x="71"/>
        <item x="168"/>
        <item x="891"/>
        <item x="952"/>
        <item x="947"/>
        <item x="257"/>
        <item x="122"/>
        <item x="365"/>
        <item x="235"/>
        <item x="153"/>
        <item x="659"/>
        <item x="980"/>
        <item x="758"/>
        <item x="983"/>
        <item x="447"/>
        <item x="87"/>
        <item x="546"/>
        <item x="430"/>
        <item x="169"/>
        <item x="132"/>
        <item x="843"/>
        <item x="511"/>
        <item x="987"/>
        <item x="865"/>
        <item x="306"/>
        <item x="434"/>
        <item x="359"/>
        <item x="112"/>
        <item x="628"/>
        <item x="867"/>
        <item x="130"/>
        <item x="923"/>
        <item x="916"/>
        <item x="971"/>
        <item x="335"/>
        <item x="459"/>
        <item x="858"/>
        <item x="806"/>
        <item x="581"/>
        <item x="853"/>
        <item x="913"/>
        <item x="355"/>
        <item x="784"/>
        <item x="427"/>
        <item x="425"/>
        <item x="571"/>
        <item x="887"/>
        <item x="377"/>
        <item x="493"/>
        <item x="553"/>
        <item x="367"/>
        <item x="642"/>
        <item x="105"/>
        <item x="108"/>
        <item x="735"/>
        <item x="602"/>
        <item x="240"/>
        <item x="268"/>
        <item x="220"/>
        <item x="213"/>
        <item x="744"/>
        <item x="188"/>
        <item x="731"/>
        <item x="242"/>
        <item x="287"/>
        <item x="703"/>
        <item x="982"/>
        <item x="764"/>
        <item x="584"/>
        <item x="856"/>
        <item x="111"/>
        <item x="667"/>
        <item x="831"/>
        <item x="243"/>
        <item x="266"/>
        <item x="158"/>
        <item x="892"/>
        <item x="212"/>
        <item x="925"/>
        <item x="1"/>
        <item x="435"/>
        <item x="347"/>
        <item x="324"/>
        <item x="742"/>
        <item x="593"/>
        <item x="932"/>
        <item x="28"/>
        <item x="774"/>
        <item x="2"/>
        <item x="82"/>
        <item x="805"/>
        <item x="654"/>
        <item x="170"/>
        <item x="894"/>
        <item x="368"/>
        <item x="776"/>
        <item x="30"/>
        <item x="473"/>
        <item x="803"/>
        <item x="716"/>
        <item x="702"/>
        <item x="352"/>
        <item x="77"/>
        <item x="660"/>
        <item x="398"/>
        <item x="361"/>
        <item x="246"/>
        <item x="448"/>
        <item x="256"/>
        <item x="807"/>
        <item x="924"/>
        <item x="765"/>
        <item x="710"/>
        <item x="200"/>
        <item x="686"/>
        <item x="531"/>
        <item x="567"/>
        <item x="301"/>
        <item x="757"/>
        <item x="927"/>
        <item x="889"/>
        <item x="712"/>
        <item x="768"/>
        <item x="155"/>
        <item x="26"/>
        <item x="412"/>
        <item x="12"/>
        <item x="175"/>
        <item x="107"/>
        <item x="217"/>
        <item x="769"/>
        <item x="565"/>
        <item x="706"/>
        <item x="560"/>
        <item x="340"/>
        <item x="73"/>
        <item x="811"/>
        <item x="862"/>
        <item x="745"/>
        <item x="608"/>
        <item x="373"/>
        <item x="569"/>
        <item x="394"/>
        <item x="419"/>
        <item x="826"/>
        <item x="422"/>
        <item x="258"/>
        <item x="825"/>
        <item x="968"/>
        <item x="138"/>
        <item x="267"/>
        <item x="17"/>
        <item x="241"/>
        <item x="763"/>
        <item x="327"/>
        <item x="275"/>
        <item x="549"/>
        <item x="22"/>
        <item x="626"/>
        <item x="542"/>
        <item x="284"/>
        <item x="210"/>
        <item x="752"/>
        <item x="478"/>
        <item x="450"/>
        <item x="720"/>
        <item x="753"/>
        <item x="698"/>
        <item x="554"/>
        <item x="31"/>
        <item x="364"/>
        <item x="652"/>
        <item x="113"/>
        <item x="900"/>
        <item x="4"/>
        <item x="885"/>
        <item x="292"/>
        <item x="599"/>
        <item x="771"/>
        <item x="363"/>
        <item x="719"/>
        <item x="109"/>
        <item x="279"/>
        <item x="632"/>
        <item x="127"/>
        <item x="668"/>
        <item x="20"/>
        <item x="66"/>
        <item x="876"/>
        <item x="505"/>
        <item x="53"/>
        <item x="211"/>
        <item x="291"/>
        <item x="573"/>
        <item x="164"/>
        <item x="790"/>
        <item x="613"/>
        <item x="989"/>
        <item x="575"/>
        <item x="517"/>
        <item x="177"/>
        <item x="663"/>
        <item x="219"/>
        <item x="142"/>
        <item x="578"/>
        <item x="457"/>
        <item x="214"/>
        <item x="405"/>
        <item x="557"/>
        <item x="959"/>
        <item x="630"/>
        <item x="429"/>
        <item x="583"/>
        <item x="88"/>
        <item x="830"/>
        <item x="527"/>
        <item x="302"/>
        <item x="251"/>
        <item x="166"/>
        <item x="239"/>
        <item x="837"/>
        <item x="52"/>
        <item x="338"/>
        <item x="443"/>
        <item x="206"/>
        <item x="144"/>
        <item x="95"/>
        <item x="409"/>
        <item x="80"/>
        <item x="293"/>
        <item x="940"/>
        <item x="121"/>
        <item x="224"/>
        <item x="383"/>
        <item x="949"/>
        <item x="250"/>
        <item x="135"/>
        <item x="590"/>
        <item x="884"/>
        <item x="733"/>
        <item x="229"/>
        <item x="191"/>
        <item x="89"/>
        <item x="852"/>
        <item x="647"/>
        <item x="953"/>
        <item x="452"/>
        <item x="91"/>
        <item x="689"/>
        <item x="722"/>
        <item x="919"/>
        <item x="778"/>
        <item x="285"/>
        <item x="487"/>
        <item x="99"/>
        <item x="617"/>
        <item x="423"/>
        <item x="976"/>
        <item x="372"/>
        <item x="14"/>
        <item x="679"/>
        <item x="736"/>
        <item x="411"/>
        <item x="290"/>
        <item x="604"/>
        <item x="610"/>
        <item x="63"/>
        <item x="35"/>
        <item x="320"/>
        <item x="173"/>
        <item x="225"/>
        <item x="621"/>
        <item x="350"/>
        <item x="319"/>
        <item x="375"/>
        <item x="15"/>
        <item x="330"/>
        <item x="92"/>
        <item x="296"/>
        <item x="844"/>
        <item x="47"/>
        <item x="725"/>
        <item x="503"/>
        <item x="205"/>
        <item x="400"/>
        <item x="61"/>
        <item x="299"/>
        <item x="515"/>
        <item x="835"/>
        <item x="681"/>
        <item x="582"/>
        <item x="389"/>
        <item x="227"/>
        <item x="631"/>
        <item x="392"/>
        <item x="739"/>
        <item x="528"/>
        <item x="873"/>
        <item x="303"/>
        <item x="926"/>
        <item x="93"/>
        <item x="495"/>
        <item x="841"/>
        <item x="516"/>
        <item x="209"/>
        <item x="513"/>
        <item x="494"/>
        <item x="699"/>
        <item x="775"/>
        <item x="328"/>
        <item x="280"/>
        <item x="7"/>
        <item x="300"/>
        <item x="751"/>
        <item x="295"/>
        <item x="453"/>
        <item x="316"/>
        <item x="485"/>
        <item x="146"/>
        <item x="262"/>
        <item x="761"/>
        <item x="484"/>
        <item x="637"/>
        <item x="532"/>
        <item x="458"/>
        <item x="437"/>
        <item x="587"/>
        <item x="333"/>
        <item x="715"/>
        <item x="665"/>
        <item x="772"/>
        <item x="404"/>
        <item x="362"/>
        <item x="313"/>
        <item x="417"/>
        <item x="737"/>
        <item x="596"/>
        <item x="507"/>
        <item x="500"/>
        <item x="481"/>
        <item x="529"/>
        <item x="747"/>
        <item x="540"/>
        <item x="413"/>
        <item x="633"/>
        <item x="600"/>
        <item x="871"/>
        <item x="954"/>
        <item x="86"/>
        <item x="311"/>
        <item x="552"/>
        <item x="909"/>
        <item x="370"/>
        <item x="281"/>
        <item x="29"/>
        <item x="286"/>
        <item x="341"/>
        <item x="54"/>
        <item x="855"/>
        <item x="304"/>
        <item x="684"/>
        <item x="282"/>
        <item x="544"/>
        <item x="558"/>
        <item x="59"/>
        <item x="824"/>
        <item x="78"/>
        <item x="616"/>
        <item x="381"/>
        <item x="476"/>
        <item x="524"/>
        <item x="614"/>
        <item x="86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4">
        <item x="2"/>
        <item x="1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$A$1:$M$1002" totalsRowShown="0">
  <autoFilter ref="$A$1:$M$1002"/>
  <tableColumns count="1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9" sqref="C9"/>
    </sheetView>
  </sheetViews>
  <sheetFormatPr defaultRowHeight="15"/>
  <cols>
    <col min="1" max="1" width="17" bestFit="1" customWidth="1"/>
    <col min="2" max="2" width="12.57031" bestFit="1" customWidth="1"/>
    <col min="3" max="3" width="16.42578" bestFit="1" customWidth="1"/>
    <col min="4" max="4" width="19.28516" bestFit="1" customWidth="1"/>
  </cols>
  <sheetData>
    <row r="3">
      <c r="A3" s="1" t="s">
        <v>0</v>
      </c>
      <c r="B3" s="1"/>
      <c r="C3" s="1"/>
      <c r="D3" s="1"/>
    </row>
    <row r="4">
      <c r="A4" s="1" t="s">
        <v>1</v>
      </c>
      <c r="B4" s="1" t="s">
        <v>2</v>
      </c>
      <c r="C4" s="1" t="s">
        <v>3</v>
      </c>
      <c r="D4" s="1" t="s">
        <v>4</v>
      </c>
    </row>
    <row r="5">
      <c r="A5" s="2">
        <v>2059070.2000000009</v>
      </c>
      <c r="B5" s="2">
        <v>2250.409999999998</v>
      </c>
      <c r="C5" s="2">
        <v>1000</v>
      </c>
      <c r="D5" s="3">
        <v>0.0010929253407678851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 topLeftCell="A4">
      <selection activeCell="D7" sqref="A3:E10"/>
    </sheetView>
  </sheetViews>
  <sheetFormatPr defaultRowHeight="15"/>
  <cols>
    <col min="1" max="1" width="13" bestFit="1" customWidth="1"/>
    <col min="2" max="2" width="17" bestFit="1" customWidth="1"/>
    <col min="3" max="3" width="12.57031" bestFit="1" customWidth="1"/>
    <col min="4" max="4" width="16.42578" bestFit="1" customWidth="1"/>
    <col min="5" max="5" width="18.71094" bestFit="1" customWidth="1"/>
    <col min="6" max="6" width="9" bestFit="1" customWidth="1"/>
    <col min="7" max="7" width="9" bestFit="1" customWidth="1"/>
    <col min="8" max="8" width="9" bestFit="1" customWidth="1"/>
    <col min="9" max="9" width="9" bestFit="1" customWidth="1"/>
    <col min="10" max="10" width="9" bestFit="1" customWidth="1"/>
    <col min="11" max="11" width="9" bestFit="1" customWidth="1"/>
    <col min="12" max="12" width="9" bestFit="1" customWidth="1"/>
    <col min="13" max="13" width="9" bestFit="1" customWidth="1"/>
    <col min="14" max="14" width="9" bestFit="1" customWidth="1"/>
    <col min="15" max="15" width="9" bestFit="1" customWidth="1"/>
    <col min="16" max="16" width="9" bestFit="1" customWidth="1"/>
    <col min="17" max="17" width="9" bestFit="1" customWidth="1"/>
    <col min="18" max="18" width="9" bestFit="1" customWidth="1"/>
    <col min="19" max="19" width="9" bestFit="1" customWidth="1"/>
    <col min="20" max="20" width="9" bestFit="1" customWidth="1"/>
    <col min="21" max="21" width="9" bestFit="1" customWidth="1"/>
    <col min="22" max="22" width="9" bestFit="1" customWidth="1"/>
    <col min="23" max="23" width="9" bestFit="1" customWidth="1"/>
    <col min="24" max="24" width="9" bestFit="1" customWidth="1"/>
    <col min="25" max="25" width="9" bestFit="1" customWidth="1"/>
    <col min="26" max="26" width="9" bestFit="1" customWidth="1"/>
    <col min="27" max="27" width="9" bestFit="1" customWidth="1"/>
    <col min="28" max="28" width="9" bestFit="1" customWidth="1"/>
    <col min="29" max="29" width="9" bestFit="1" customWidth="1"/>
    <col min="30" max="30" width="9" bestFit="1" customWidth="1"/>
    <col min="31" max="31" width="9" bestFit="1" customWidth="1"/>
    <col min="32" max="32" width="9" bestFit="1" customWidth="1"/>
    <col min="33" max="33" width="12.57031" bestFit="1" customWidth="1"/>
    <col min="34" max="34" width="9" bestFit="1" customWidth="1"/>
    <col min="35" max="35" width="9" bestFit="1" customWidth="1"/>
    <col min="36" max="36" width="8" bestFit="1" customWidth="1"/>
    <col min="37" max="37" width="8" bestFit="1" customWidth="1"/>
    <col min="38" max="38" width="8" bestFit="1" customWidth="1"/>
    <col min="39" max="39" width="8" bestFit="1" customWidth="1"/>
    <col min="40" max="40" width="8" bestFit="1" customWidth="1"/>
    <col min="41" max="41" width="8" bestFit="1" customWidth="1"/>
    <col min="42" max="42" width="8" bestFit="1" customWidth="1"/>
    <col min="43" max="43" width="8" bestFit="1" customWidth="1"/>
    <col min="44" max="44" width="7" bestFit="1" customWidth="1"/>
    <col min="45" max="45" width="7" bestFit="1" customWidth="1"/>
    <col min="46" max="46" width="8" bestFit="1" customWidth="1"/>
    <col min="47" max="47" width="8" bestFit="1" customWidth="1"/>
    <col min="48" max="48" width="7.710938" bestFit="1" customWidth="1"/>
    <col min="49" max="49" width="7.710938" bestFit="1" customWidth="1"/>
    <col min="50" max="50" width="8.710938" bestFit="1" customWidth="1"/>
    <col min="51" max="51" width="8.710938" bestFit="1" customWidth="1"/>
    <col min="52" max="52" width="8.710938" bestFit="1" customWidth="1"/>
    <col min="53" max="53" width="8.710938" bestFit="1" customWidth="1"/>
    <col min="54" max="54" width="8.710938" bestFit="1" customWidth="1"/>
    <col min="55" max="55" width="8.710938" bestFit="1" customWidth="1"/>
    <col min="56" max="56" width="8.710938" bestFit="1" customWidth="1"/>
    <col min="57" max="57" width="8.710938" bestFit="1" customWidth="1"/>
    <col min="58" max="58" width="8.710938" bestFit="1" customWidth="1"/>
    <col min="59" max="59" width="8.710938" bestFit="1" customWidth="1"/>
    <col min="60" max="60" width="9.710938" bestFit="1" customWidth="1"/>
    <col min="61" max="61" width="8.710938" bestFit="1" customWidth="1"/>
    <col min="62" max="62" width="8.710938" bestFit="1" customWidth="1"/>
    <col min="63" max="63" width="8.710938" bestFit="1" customWidth="1"/>
    <col min="64" max="64" width="16.42578" bestFit="1" customWidth="1"/>
    <col min="65" max="65" width="5" bestFit="1" customWidth="1"/>
    <col min="66" max="66" width="5" bestFit="1" customWidth="1"/>
    <col min="67" max="67" width="5" bestFit="1" customWidth="1"/>
    <col min="68" max="68" width="5" bestFit="1" customWidth="1"/>
    <col min="69" max="69" width="5" bestFit="1" customWidth="1"/>
    <col min="70" max="70" width="5" bestFit="1" customWidth="1"/>
    <col min="71" max="71" width="5" bestFit="1" customWidth="1"/>
    <col min="72" max="72" width="5" bestFit="1" customWidth="1"/>
    <col min="73" max="73" width="5" bestFit="1" customWidth="1"/>
    <col min="74" max="74" width="4" bestFit="1" customWidth="1"/>
    <col min="75" max="75" width="5" bestFit="1" customWidth="1"/>
    <col min="76" max="76" width="5" bestFit="1" customWidth="1"/>
    <col min="77" max="77" width="5" bestFit="1" customWidth="1"/>
    <col min="78" max="78" width="5" bestFit="1" customWidth="1"/>
    <col min="79" max="79" width="5" bestFit="1" customWidth="1"/>
    <col min="80" max="80" width="5" bestFit="1" customWidth="1"/>
    <col min="81" max="81" width="5" bestFit="1" customWidth="1"/>
    <col min="82" max="82" width="5" bestFit="1" customWidth="1"/>
    <col min="83" max="83" width="5" bestFit="1" customWidth="1"/>
    <col min="84" max="84" width="4" bestFit="1" customWidth="1"/>
    <col min="85" max="85" width="5" bestFit="1" customWidth="1"/>
    <col min="86" max="86" width="5" bestFit="1" customWidth="1"/>
    <col min="87" max="87" width="5" bestFit="1" customWidth="1"/>
    <col min="88" max="88" width="5" bestFit="1" customWidth="1"/>
    <col min="89" max="89" width="5" bestFit="1" customWidth="1"/>
    <col min="90" max="90" width="5" bestFit="1" customWidth="1"/>
    <col min="91" max="91" width="5" bestFit="1" customWidth="1"/>
    <col min="92" max="92" width="5" bestFit="1" customWidth="1"/>
    <col min="93" max="93" width="5" bestFit="1" customWidth="1"/>
    <col min="94" max="94" width="4" bestFit="1" customWidth="1"/>
    <col min="95" max="95" width="21.85547" bestFit="1" customWidth="1"/>
    <col min="96" max="96" width="17.42578" bestFit="1" customWidth="1"/>
    <col min="97" max="97" width="21.28516" bestFit="1" customWidth="1"/>
  </cols>
  <sheetData>
    <row r="3">
      <c r="B3" t="s">
        <v>0</v>
      </c>
    </row>
    <row r="4">
      <c r="A4" t="s">
        <v>5</v>
      </c>
      <c r="B4" t="s">
        <v>1</v>
      </c>
      <c r="C4" t="s">
        <v>2</v>
      </c>
      <c r="D4" t="s">
        <v>6</v>
      </c>
      <c r="E4" t="s">
        <v>7</v>
      </c>
    </row>
    <row r="5">
      <c r="A5" s="4" t="s">
        <v>8</v>
      </c>
      <c r="B5" s="5">
        <v>356059.55999999988</v>
      </c>
      <c r="C5" s="5">
        <v>-4706.9899999999971</v>
      </c>
      <c r="D5" s="5">
        <v>187</v>
      </c>
      <c r="E5" s="5">
        <v>29.510000000000012</v>
      </c>
    </row>
    <row r="6">
      <c r="A6" s="4" t="s">
        <v>9</v>
      </c>
      <c r="B6" s="5">
        <v>444566.91999999987</v>
      </c>
      <c r="C6" s="5">
        <v>4741.2300000000032</v>
      </c>
      <c r="D6" s="5">
        <v>208</v>
      </c>
      <c r="E6" s="5">
        <v>26.949999999999999</v>
      </c>
    </row>
    <row r="7">
      <c r="A7" s="4" t="s">
        <v>10</v>
      </c>
      <c r="B7" s="5">
        <v>441447.81999999977</v>
      </c>
      <c r="C7" s="5">
        <v>7126.0699999999979</v>
      </c>
      <c r="D7" s="5">
        <v>209</v>
      </c>
      <c r="E7" s="5">
        <v>28.519999999999992</v>
      </c>
    </row>
    <row r="8">
      <c r="A8" s="4" t="s">
        <v>11</v>
      </c>
      <c r="B8" s="5">
        <v>383717.59000000014</v>
      </c>
      <c r="C8" s="5">
        <v>-1131.1499999999994</v>
      </c>
      <c r="D8" s="5">
        <v>177</v>
      </c>
      <c r="E8" s="5">
        <v>24.730000000000011</v>
      </c>
    </row>
    <row r="9">
      <c r="A9" s="4" t="s">
        <v>12</v>
      </c>
      <c r="B9" s="5">
        <v>433278.31</v>
      </c>
      <c r="C9" s="5">
        <v>-3778.7499999999977</v>
      </c>
      <c r="D9" s="5">
        <v>219</v>
      </c>
      <c r="E9" s="5">
        <v>31.509999999999977</v>
      </c>
    </row>
    <row r="10">
      <c r="A10" s="4" t="s">
        <v>13</v>
      </c>
      <c r="B10" s="5">
        <v>2059070.1999999997</v>
      </c>
      <c r="C10" s="5">
        <v>2250.4100000000067</v>
      </c>
      <c r="D10" s="5">
        <v>1000</v>
      </c>
      <c r="E10" s="5">
        <v>141.21999999999997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 topLeftCell="A4">
      <selection activeCell="D5" sqref="D5"/>
    </sheetView>
  </sheetViews>
  <sheetFormatPr defaultRowHeight="15"/>
  <cols>
    <col min="1" max="1" width="14" bestFit="1" customWidth="1"/>
    <col min="2" max="2" width="17" bestFit="1" customWidth="1"/>
    <col min="3" max="3" width="12.57031" bestFit="1" customWidth="1"/>
    <col min="4" max="4" width="16.42578" bestFit="1" customWidth="1"/>
    <col min="5" max="5" width="16.85547" bestFit="1" customWidth="1"/>
  </cols>
  <sheetData>
    <row r="3">
      <c r="B3" t="s">
        <v>0</v>
      </c>
    </row>
    <row r="4">
      <c r="A4" t="s">
        <v>5</v>
      </c>
      <c r="B4" t="s">
        <v>1</v>
      </c>
      <c r="C4" t="s">
        <v>2</v>
      </c>
      <c r="D4" t="s">
        <v>6</v>
      </c>
    </row>
    <row r="5">
      <c r="A5" s="4" t="s">
        <v>14</v>
      </c>
      <c r="B5" s="5">
        <v>543499.52000000014</v>
      </c>
      <c r="C5" s="5">
        <v>-3150.4399999999991</v>
      </c>
      <c r="D5" s="5">
        <v>268</v>
      </c>
    </row>
    <row r="6">
      <c r="A6" s="4" t="s">
        <v>15</v>
      </c>
      <c r="B6" s="5">
        <v>474382.04999999976</v>
      </c>
      <c r="C6" s="5">
        <v>5156.9300000000021</v>
      </c>
      <c r="D6" s="5">
        <v>230</v>
      </c>
    </row>
    <row r="7">
      <c r="A7" s="4" t="s">
        <v>16</v>
      </c>
      <c r="B7" s="5">
        <v>512164.2899999998</v>
      </c>
      <c r="C7" s="5">
        <v>-5099.630000000001</v>
      </c>
      <c r="D7" s="5">
        <v>255</v>
      </c>
    </row>
    <row r="8">
      <c r="A8" s="4" t="s">
        <v>17</v>
      </c>
      <c r="B8" s="5">
        <v>529024.34000000008</v>
      </c>
      <c r="C8" s="5">
        <v>5343.5500000000084</v>
      </c>
      <c r="D8" s="5">
        <v>247</v>
      </c>
    </row>
    <row r="9">
      <c r="A9" s="4" t="s">
        <v>13</v>
      </c>
      <c r="B9" s="5">
        <v>2059070.2</v>
      </c>
      <c r="C9" s="5">
        <v>2250.4100000000108</v>
      </c>
      <c r="D9" s="5">
        <v>1000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3" sqref="A3:E9"/>
    </sheetView>
  </sheetViews>
  <sheetFormatPr defaultRowHeight="15"/>
  <cols>
    <col min="1" max="1" width="14.42578" bestFit="1" customWidth="1"/>
    <col min="2" max="2" width="17" bestFit="1" customWidth="1"/>
    <col min="3" max="3" width="12.57031" bestFit="1" customWidth="1"/>
    <col min="4" max="4" width="16.42578" bestFit="1" customWidth="1"/>
    <col min="5" max="5" width="22.14063" bestFit="1" customWidth="1"/>
  </cols>
  <sheetData>
    <row r="3">
      <c r="A3" s="1"/>
      <c r="B3" s="1" t="s">
        <v>0</v>
      </c>
      <c r="C3" s="1"/>
      <c r="D3" s="1"/>
      <c r="E3" s="1"/>
    </row>
    <row r="4">
      <c r="A4" s="1" t="s">
        <v>5</v>
      </c>
      <c r="B4" s="1" t="s">
        <v>1</v>
      </c>
      <c r="C4" s="1" t="s">
        <v>2</v>
      </c>
      <c r="D4" s="1" t="s">
        <v>3</v>
      </c>
      <c r="E4" s="1" t="s">
        <v>18</v>
      </c>
    </row>
    <row r="5">
      <c r="A5" s="1" t="s">
        <v>19</v>
      </c>
      <c r="B5" s="2">
        <v>548389.53000000003</v>
      </c>
      <c r="C5" s="2">
        <v>-4229.8000000000002</v>
      </c>
      <c r="D5" s="2">
        <v>255</v>
      </c>
      <c r="E5" s="3">
        <v>0.1437254901960785</v>
      </c>
    </row>
    <row r="6">
      <c r="A6" s="1" t="s">
        <v>20</v>
      </c>
      <c r="B6" s="2">
        <v>511125.84999999969</v>
      </c>
      <c r="C6" s="2">
        <v>-2205.9300000000007</v>
      </c>
      <c r="D6" s="2">
        <v>247</v>
      </c>
      <c r="E6" s="3">
        <v>0.14348178137651826</v>
      </c>
    </row>
    <row r="7">
      <c r="A7" s="1" t="s">
        <v>21</v>
      </c>
      <c r="B7" s="2">
        <v>493614.1599999998</v>
      </c>
      <c r="C7" s="2">
        <v>4036.4100000000008</v>
      </c>
      <c r="D7" s="2">
        <v>256</v>
      </c>
      <c r="E7" s="3">
        <v>0.13617187499999994</v>
      </c>
    </row>
    <row r="8">
      <c r="A8" s="1" t="s">
        <v>22</v>
      </c>
      <c r="B8" s="2">
        <v>505940.66000000021</v>
      </c>
      <c r="C8" s="2">
        <v>4649.7300000000014</v>
      </c>
      <c r="D8" s="2">
        <v>242</v>
      </c>
      <c r="E8" s="3">
        <v>0.14161157024793383</v>
      </c>
    </row>
    <row r="9">
      <c r="A9" s="1" t="s">
        <v>13</v>
      </c>
      <c r="B9" s="2">
        <v>2059070.1999999997</v>
      </c>
      <c r="C9" s="2">
        <v>2250.4100000000012</v>
      </c>
      <c r="D9" s="2">
        <v>1000</v>
      </c>
      <c r="E9" s="3">
        <v>0.14122000000000004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H28" sqref="H28"/>
    </sheetView>
  </sheetViews>
  <sheetFormatPr defaultRowHeight="15"/>
  <cols>
    <col min="1" max="1" width="13" bestFit="1" customWidth="1"/>
    <col min="2" max="2" width="12.57031" bestFit="1" customWidth="1"/>
    <col min="3" max="3" width="22.14063" bestFit="1" customWidth="1"/>
  </cols>
  <sheetData>
    <row r="3">
      <c r="B3" t="s">
        <v>0</v>
      </c>
    </row>
    <row r="4">
      <c r="A4" t="s">
        <v>5</v>
      </c>
      <c r="B4" t="s">
        <v>2</v>
      </c>
      <c r="C4" t="s">
        <v>18</v>
      </c>
    </row>
    <row r="5">
      <c r="A5" s="4" t="s">
        <v>23</v>
      </c>
      <c r="B5" s="5">
        <v>-3563.9199999999955</v>
      </c>
      <c r="C5" s="6">
        <v>0.14386422976501295</v>
      </c>
    </row>
    <row r="6">
      <c r="A6" s="4" t="s">
        <v>24</v>
      </c>
      <c r="B6" s="5">
        <v>-6605.5799999999963</v>
      </c>
      <c r="C6" s="6">
        <v>0.14658064516129035</v>
      </c>
    </row>
    <row r="7">
      <c r="A7" s="4" t="s">
        <v>25</v>
      </c>
      <c r="B7" s="5">
        <v>12419.91</v>
      </c>
      <c r="C7" s="6">
        <v>0.1325081433224756</v>
      </c>
    </row>
    <row r="8">
      <c r="A8" s="4" t="s">
        <v>13</v>
      </c>
      <c r="B8" s="5">
        <v>2250.410000000008</v>
      </c>
      <c r="C8" s="6">
        <v>0.14121999999999996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13" sqref="E13"/>
    </sheetView>
  </sheetViews>
  <sheetFormatPr defaultRowHeight="15"/>
  <cols>
    <col min="1" max="1" width="17" bestFit="1" customWidth="1"/>
    <col min="2" max="2" width="16" bestFit="1" customWidth="1"/>
    <col min="3" max="3" width="10.57031" bestFit="1" customWidth="1"/>
    <col min="4" max="4" width="10" bestFit="1" customWidth="1"/>
    <col min="5" max="5" width="14.42578" bestFit="1" customWidth="1"/>
    <col min="6" max="6" width="11.28516" bestFit="1" customWidth="1"/>
  </cols>
  <sheetData>
    <row r="3">
      <c r="A3" t="s">
        <v>1</v>
      </c>
      <c r="B3" t="s">
        <v>26</v>
      </c>
    </row>
    <row r="4">
      <c r="A4" t="s">
        <v>5</v>
      </c>
      <c r="B4" t="s">
        <v>19</v>
      </c>
      <c r="C4" t="s">
        <v>20</v>
      </c>
      <c r="D4" t="s">
        <v>21</v>
      </c>
      <c r="E4" t="s">
        <v>22</v>
      </c>
      <c r="F4" t="s">
        <v>13</v>
      </c>
    </row>
    <row r="5">
      <c r="A5" s="4" t="s">
        <v>8</v>
      </c>
      <c r="B5" s="5">
        <v>86780.159999999989</v>
      </c>
      <c r="C5" s="5">
        <v>75172.490000000005</v>
      </c>
      <c r="D5" s="5">
        <v>91559.390000000014</v>
      </c>
      <c r="E5" s="5">
        <v>102547.52000000002</v>
      </c>
      <c r="F5" s="5">
        <v>356059.56000000006</v>
      </c>
    </row>
    <row r="6">
      <c r="A6" s="4" t="s">
        <v>9</v>
      </c>
      <c r="B6" s="5">
        <v>129511.02999999998</v>
      </c>
      <c r="C6" s="5">
        <v>126579.25999999999</v>
      </c>
      <c r="D6" s="5">
        <v>77477.420000000013</v>
      </c>
      <c r="E6" s="5">
        <v>110999.20999999998</v>
      </c>
      <c r="F6" s="5">
        <v>444566.91999999993</v>
      </c>
    </row>
    <row r="7">
      <c r="A7" s="4" t="s">
        <v>10</v>
      </c>
      <c r="B7" s="5">
        <v>108457.89000000001</v>
      </c>
      <c r="C7" s="5">
        <v>109508.75999999998</v>
      </c>
      <c r="D7" s="5">
        <v>112536.19</v>
      </c>
      <c r="E7" s="5">
        <v>110944.98000000001</v>
      </c>
      <c r="F7" s="5">
        <v>441447.82000000001</v>
      </c>
    </row>
    <row r="8">
      <c r="A8" s="4" t="s">
        <v>11</v>
      </c>
      <c r="B8" s="5">
        <v>106075.19000000005</v>
      </c>
      <c r="C8" s="5">
        <v>94542.939999999988</v>
      </c>
      <c r="D8" s="5">
        <v>100470.84000000001</v>
      </c>
      <c r="E8" s="5">
        <v>82628.619999999981</v>
      </c>
      <c r="F8" s="5">
        <v>383717.59000000003</v>
      </c>
    </row>
    <row r="9">
      <c r="A9" s="4" t="s">
        <v>12</v>
      </c>
      <c r="B9" s="5">
        <v>117565.26000000001</v>
      </c>
      <c r="C9" s="5">
        <v>105322.40000000001</v>
      </c>
      <c r="D9" s="5">
        <v>111570.32000000001</v>
      </c>
      <c r="E9" s="5">
        <v>98820.329999999973</v>
      </c>
      <c r="F9" s="5">
        <v>433278.31</v>
      </c>
    </row>
    <row r="10">
      <c r="A10" s="4" t="s">
        <v>13</v>
      </c>
      <c r="B10" s="5">
        <v>548389.53000000003</v>
      </c>
      <c r="C10" s="5">
        <v>511125.84999999998</v>
      </c>
      <c r="D10" s="5">
        <v>493614.16000000003</v>
      </c>
      <c r="E10" s="5">
        <v>505940.65999999997</v>
      </c>
      <c r="F10" s="5">
        <v>2059070.1999999997</v>
      </c>
    </row>
  </sheetData>
  <conditionalFormatting sqref="B5:F10">
    <cfRule priority="1" type="colorScale">
      <colorScale>
        <cfvo type="min"/>
        <cfvo type="percent" val="50"/>
        <cfvo type="max"/>
        <color rgb="FF63BE7B"/>
        <color rgb="FFFFEB84"/>
        <color rgb="FFF8696B"/>
      </colorScale>
    </cfRule>
    <cfRule priority="2" type="colorScale">
      <colorScale>
        <cfvo type="min"/>
        <cfvo type="percent" val="50"/>
        <cfvo type="max"/>
        <color rgb="FF63BE7B"/>
        <color rgb="FFFFEB84"/>
        <color rgb="FFF8696B"/>
      </colorScale>
    </cfRule>
  </conditionalFormatting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  <selection pane="bottomLeft" activeCell="L7" sqref="A2:M1002"/>
    </sheetView>
  </sheetViews>
  <sheetFormatPr defaultRowHeight="15"/>
  <cols>
    <col min="1" max="1" width="21" customWidth="1"/>
    <col min="2" max="2" width="10" customWidth="1"/>
    <col min="3" max="3" width="18" customWidth="1"/>
    <col min="4" max="4" width="9.570313" customWidth="1"/>
    <col min="5" max="5" width="17" customWidth="1"/>
    <col min="6" max="6" width="12.42578" customWidth="1"/>
    <col min="7" max="7" width="12.42578" customWidth="1"/>
    <col min="8" max="8" width="10" customWidth="1"/>
    <col min="9" max="9" width="13.42578" customWidth="1"/>
    <col min="10" max="10" width="14.42578" customWidth="1"/>
    <col min="11" max="11" width="10.42578" customWidth="1"/>
    <col min="12" max="12" width="16" customWidth="1"/>
    <col min="13" max="13" width="9.570313" customWidth="1"/>
  </cols>
  <sheetData>
    <row r="1" ht="30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8" t="s">
        <v>39</v>
      </c>
    </row>
    <row r="2" ht="30">
      <c r="A2" s="7" t="s">
        <v>40</v>
      </c>
      <c r="B2" s="7" t="s">
        <v>41</v>
      </c>
      <c r="C2" s="7" t="s">
        <v>42</v>
      </c>
      <c r="D2" s="7" t="s">
        <v>43</v>
      </c>
      <c r="E2" s="7" t="s">
        <v>44</v>
      </c>
      <c r="F2" s="7" t="s">
        <v>45</v>
      </c>
      <c r="G2" s="7" t="s">
        <v>46</v>
      </c>
      <c r="H2" s="7" t="s">
        <v>47</v>
      </c>
      <c r="I2" s="7" t="s">
        <v>48</v>
      </c>
      <c r="J2" s="7" t="s">
        <v>49</v>
      </c>
      <c r="K2" s="7" t="s">
        <v>50</v>
      </c>
      <c r="L2" s="7" t="s">
        <v>51</v>
      </c>
      <c r="M2" s="9" t="s">
        <v>52</v>
      </c>
    </row>
    <row r="3">
      <c r="A3" s="10">
        <v>45219</v>
      </c>
      <c r="B3" s="9" t="s">
        <v>53</v>
      </c>
      <c r="C3" s="9" t="s">
        <v>15</v>
      </c>
      <c r="D3" s="9" t="s">
        <v>10</v>
      </c>
      <c r="E3" s="9" t="s">
        <v>22</v>
      </c>
      <c r="F3" s="9" t="s">
        <v>54</v>
      </c>
      <c r="G3" s="9">
        <v>275.81</v>
      </c>
      <c r="H3" s="9">
        <v>2</v>
      </c>
      <c r="I3" s="9">
        <v>551.62</v>
      </c>
      <c r="J3" s="9">
        <v>0.23000000000000001</v>
      </c>
      <c r="K3" s="9">
        <v>-97.150000000000006</v>
      </c>
      <c r="L3" s="9" t="s">
        <v>55</v>
      </c>
      <c r="M3" s="9" t="str">
        <f t="shared" ref="M3:M1002" si="0">IF(J2&lt;=0.1,"0-10%",IF(J2&lt;=0.2,"10-20%","20%+"))</f>
        <v>20%+</v>
      </c>
    </row>
    <row r="4">
      <c r="A4" s="10">
        <v>45023</v>
      </c>
      <c r="B4" s="9" t="s">
        <v>56</v>
      </c>
      <c r="C4" s="9" t="s">
        <v>15</v>
      </c>
      <c r="D4" s="9" t="s">
        <v>9</v>
      </c>
      <c r="E4" s="9" t="s">
        <v>19</v>
      </c>
      <c r="F4" s="9" t="s">
        <v>57</v>
      </c>
      <c r="G4" s="9">
        <v>50.420000000000002</v>
      </c>
      <c r="H4" s="9">
        <v>9</v>
      </c>
      <c r="I4" s="9">
        <v>453.77999999999997</v>
      </c>
      <c r="J4" s="9">
        <v>0.11</v>
      </c>
      <c r="K4" s="9">
        <v>61.520000000000003</v>
      </c>
      <c r="L4" s="9" t="s">
        <v>58</v>
      </c>
      <c r="M4" s="9" t="str">
        <f t="shared" si="0"/>
        <v>20%+</v>
      </c>
    </row>
    <row r="5">
      <c r="A5" s="10">
        <v>44991</v>
      </c>
      <c r="B5" s="9" t="s">
        <v>59</v>
      </c>
      <c r="C5" s="9" t="s">
        <v>17</v>
      </c>
      <c r="D5" s="9" t="s">
        <v>10</v>
      </c>
      <c r="E5" s="9" t="s">
        <v>19</v>
      </c>
      <c r="F5" s="9" t="s">
        <v>60</v>
      </c>
      <c r="G5" s="9">
        <v>84.019999999999996</v>
      </c>
      <c r="H5" s="9">
        <v>5</v>
      </c>
      <c r="I5" s="9">
        <v>420.10000000000002</v>
      </c>
      <c r="J5" s="9">
        <v>0.01</v>
      </c>
      <c r="K5" s="9">
        <v>65.049999999999997</v>
      </c>
      <c r="L5" s="9" t="s">
        <v>55</v>
      </c>
      <c r="M5" s="9" t="str">
        <f t="shared" si="0"/>
        <v>10-20%</v>
      </c>
    </row>
    <row r="6">
      <c r="A6" s="10">
        <v>44949</v>
      </c>
      <c r="B6" s="9" t="s">
        <v>61</v>
      </c>
      <c r="C6" s="9" t="s">
        <v>14</v>
      </c>
      <c r="D6" s="9" t="s">
        <v>8</v>
      </c>
      <c r="E6" s="9" t="s">
        <v>19</v>
      </c>
      <c r="F6" s="9" t="s">
        <v>62</v>
      </c>
      <c r="G6" s="9">
        <v>71.5</v>
      </c>
      <c r="H6" s="9">
        <v>4</v>
      </c>
      <c r="I6" s="9">
        <v>286</v>
      </c>
      <c r="J6" s="9">
        <v>0.14000000000000001</v>
      </c>
      <c r="K6" s="9">
        <v>9.5600000000000005</v>
      </c>
      <c r="L6" s="9" t="s">
        <v>63</v>
      </c>
      <c r="M6" s="9" t="str">
        <f t="shared" si="0"/>
        <v>0-10%</v>
      </c>
    </row>
    <row r="7">
      <c r="A7" s="10">
        <v>44936</v>
      </c>
      <c r="B7" s="9" t="s">
        <v>64</v>
      </c>
      <c r="C7" s="9" t="s">
        <v>17</v>
      </c>
      <c r="D7" s="9" t="s">
        <v>8</v>
      </c>
      <c r="E7" s="9" t="s">
        <v>20</v>
      </c>
      <c r="F7" s="9" t="s">
        <v>65</v>
      </c>
      <c r="G7" s="9">
        <v>80.469999999999999</v>
      </c>
      <c r="H7" s="9">
        <v>9</v>
      </c>
      <c r="I7" s="9">
        <v>724.23000000000002</v>
      </c>
      <c r="J7" s="9">
        <v>0.050000000000000003</v>
      </c>
      <c r="K7" s="9">
        <v>122.73999999999999</v>
      </c>
      <c r="L7" s="9" t="s">
        <v>55</v>
      </c>
      <c r="M7" s="9" t="str">
        <f t="shared" si="0"/>
        <v>10-20%</v>
      </c>
    </row>
    <row r="8">
      <c r="A8" s="10">
        <v>45039</v>
      </c>
      <c r="B8" s="9" t="s">
        <v>66</v>
      </c>
      <c r="C8" s="9" t="s">
        <v>15</v>
      </c>
      <c r="D8" s="9" t="s">
        <v>9</v>
      </c>
      <c r="E8" s="9" t="s">
        <v>19</v>
      </c>
      <c r="F8" s="9" t="s">
        <v>67</v>
      </c>
      <c r="G8" s="9">
        <v>61.670000000000002</v>
      </c>
      <c r="H8" s="9">
        <v>7</v>
      </c>
      <c r="I8" s="9">
        <v>431.69</v>
      </c>
      <c r="J8" s="9">
        <v>0.28000000000000003</v>
      </c>
      <c r="K8" s="9">
        <v>-94.879999999999995</v>
      </c>
      <c r="L8" s="9" t="s">
        <v>63</v>
      </c>
      <c r="M8" s="9" t="str">
        <f t="shared" si="0"/>
        <v>0-10%</v>
      </c>
    </row>
    <row r="9">
      <c r="A9" s="10">
        <v>45150</v>
      </c>
      <c r="B9" s="9" t="s">
        <v>68</v>
      </c>
      <c r="C9" s="9" t="s">
        <v>15</v>
      </c>
      <c r="D9" s="9" t="s">
        <v>9</v>
      </c>
      <c r="E9" s="9" t="s">
        <v>20</v>
      </c>
      <c r="F9" s="9" t="s">
        <v>69</v>
      </c>
      <c r="G9" s="9">
        <v>130.31999999999999</v>
      </c>
      <c r="H9" s="9">
        <v>2</v>
      </c>
      <c r="I9" s="9">
        <v>260.63999999999999</v>
      </c>
      <c r="J9" s="9">
        <v>0.28000000000000003</v>
      </c>
      <c r="K9" s="9">
        <v>-54.009999999999998</v>
      </c>
      <c r="L9" s="9" t="s">
        <v>63</v>
      </c>
      <c r="M9" s="9" t="str">
        <f t="shared" si="0"/>
        <v>20%+</v>
      </c>
    </row>
    <row r="10">
      <c r="A10" s="10">
        <v>45268</v>
      </c>
      <c r="B10" s="9" t="s">
        <v>70</v>
      </c>
      <c r="C10" s="9" t="s">
        <v>14</v>
      </c>
      <c r="D10" s="9" t="s">
        <v>8</v>
      </c>
      <c r="E10" s="9" t="s">
        <v>22</v>
      </c>
      <c r="F10" s="9" t="s">
        <v>71</v>
      </c>
      <c r="G10" s="9">
        <v>470.31999999999999</v>
      </c>
      <c r="H10" s="9">
        <v>12</v>
      </c>
      <c r="I10" s="9">
        <v>5643.8400000000001</v>
      </c>
      <c r="J10" s="9">
        <v>0.13</v>
      </c>
      <c r="K10" s="9">
        <v>413.27999999999997</v>
      </c>
      <c r="L10" s="9" t="s">
        <v>72</v>
      </c>
      <c r="M10" s="9" t="str">
        <f t="shared" si="0"/>
        <v>20%+</v>
      </c>
    </row>
    <row r="11">
      <c r="A11" s="10">
        <v>45272</v>
      </c>
      <c r="B11" s="9" t="s">
        <v>73</v>
      </c>
      <c r="C11" s="9" t="s">
        <v>16</v>
      </c>
      <c r="D11" s="9" t="s">
        <v>11</v>
      </c>
      <c r="E11" s="9" t="s">
        <v>20</v>
      </c>
      <c r="F11" s="9" t="s">
        <v>74</v>
      </c>
      <c r="G11" s="9">
        <v>270.58999999999997</v>
      </c>
      <c r="H11" s="9">
        <v>8</v>
      </c>
      <c r="I11" s="9">
        <v>2164.7199999999998</v>
      </c>
      <c r="J11" s="9">
        <v>0.14000000000000001</v>
      </c>
      <c r="K11" s="9">
        <v>-90.209999999999994</v>
      </c>
      <c r="L11" s="9" t="s">
        <v>58</v>
      </c>
      <c r="M11" s="9" t="str">
        <f t="shared" si="0"/>
        <v>10-20%</v>
      </c>
    </row>
    <row r="12">
      <c r="A12" s="10">
        <v>45103</v>
      </c>
      <c r="B12" s="9" t="s">
        <v>75</v>
      </c>
      <c r="C12" s="9" t="s">
        <v>16</v>
      </c>
      <c r="D12" s="9" t="s">
        <v>8</v>
      </c>
      <c r="E12" s="9" t="s">
        <v>21</v>
      </c>
      <c r="F12" s="9" t="s">
        <v>76</v>
      </c>
      <c r="G12" s="9">
        <v>396.67000000000002</v>
      </c>
      <c r="H12" s="9">
        <v>12</v>
      </c>
      <c r="I12" s="9">
        <v>4760.04</v>
      </c>
      <c r="J12" s="9">
        <v>0.17000000000000001</v>
      </c>
      <c r="K12" s="9">
        <v>-253.69999999999999</v>
      </c>
      <c r="L12" s="9" t="s">
        <v>58</v>
      </c>
      <c r="M12" s="9" t="str">
        <f t="shared" si="0"/>
        <v>10-20%</v>
      </c>
    </row>
    <row r="13">
      <c r="A13" s="10">
        <v>44987</v>
      </c>
      <c r="B13" s="9" t="s">
        <v>77</v>
      </c>
      <c r="C13" s="9" t="s">
        <v>17</v>
      </c>
      <c r="D13" s="9" t="s">
        <v>9</v>
      </c>
      <c r="E13" s="9" t="s">
        <v>21</v>
      </c>
      <c r="F13" s="9" t="s">
        <v>78</v>
      </c>
      <c r="G13" s="9">
        <v>14.529999999999999</v>
      </c>
      <c r="H13" s="9">
        <v>2</v>
      </c>
      <c r="I13" s="9">
        <v>29.059999999999999</v>
      </c>
      <c r="J13" s="9">
        <v>0</v>
      </c>
      <c r="K13" s="9">
        <v>4</v>
      </c>
      <c r="L13" s="9" t="s">
        <v>58</v>
      </c>
      <c r="M13" s="9" t="str">
        <f t="shared" si="0"/>
        <v>10-20%</v>
      </c>
    </row>
    <row r="14">
      <c r="A14" s="10">
        <v>45281</v>
      </c>
      <c r="B14" s="9" t="s">
        <v>79</v>
      </c>
      <c r="C14" s="9" t="s">
        <v>14</v>
      </c>
      <c r="D14" s="9" t="s">
        <v>10</v>
      </c>
      <c r="E14" s="9" t="s">
        <v>20</v>
      </c>
      <c r="F14" s="9" t="s">
        <v>80</v>
      </c>
      <c r="G14" s="9">
        <v>257.07999999999998</v>
      </c>
      <c r="H14" s="9">
        <v>6</v>
      </c>
      <c r="I14" s="9">
        <v>1542.48</v>
      </c>
      <c r="J14" s="9">
        <v>0.23999999999999999</v>
      </c>
      <c r="K14" s="9">
        <v>-137.81999999999999</v>
      </c>
      <c r="L14" s="9" t="s">
        <v>63</v>
      </c>
      <c r="M14" s="9" t="str">
        <f t="shared" si="0"/>
        <v>0-10%</v>
      </c>
    </row>
    <row r="15">
      <c r="A15" s="10">
        <v>45291</v>
      </c>
      <c r="B15" s="9" t="s">
        <v>81</v>
      </c>
      <c r="C15" s="9" t="s">
        <v>17</v>
      </c>
      <c r="D15" s="9" t="s">
        <v>10</v>
      </c>
      <c r="E15" s="9" t="s">
        <v>21</v>
      </c>
      <c r="F15" s="9" t="s">
        <v>82</v>
      </c>
      <c r="G15" s="9">
        <v>368.94999999999999</v>
      </c>
      <c r="H15" s="9">
        <v>6</v>
      </c>
      <c r="I15" s="9">
        <v>2213.6999999999998</v>
      </c>
      <c r="J15" s="9">
        <v>0.14000000000000001</v>
      </c>
      <c r="K15" s="9">
        <v>87.180000000000007</v>
      </c>
      <c r="L15" s="9" t="s">
        <v>55</v>
      </c>
      <c r="M15" s="9" t="str">
        <f t="shared" si="0"/>
        <v>20%+</v>
      </c>
    </row>
    <row r="16">
      <c r="A16" s="10">
        <v>44962</v>
      </c>
      <c r="B16" s="9" t="s">
        <v>83</v>
      </c>
      <c r="C16" s="9" t="s">
        <v>14</v>
      </c>
      <c r="D16" s="9" t="s">
        <v>12</v>
      </c>
      <c r="E16" s="9" t="s">
        <v>22</v>
      </c>
      <c r="F16" s="9" t="s">
        <v>84</v>
      </c>
      <c r="G16" s="9">
        <v>478.56999999999999</v>
      </c>
      <c r="H16" s="9">
        <v>6</v>
      </c>
      <c r="I16" s="9">
        <v>2871.4200000000001</v>
      </c>
      <c r="J16" s="9">
        <v>0.26000000000000001</v>
      </c>
      <c r="K16" s="9">
        <v>-290.75999999999999</v>
      </c>
      <c r="L16" s="9" t="s">
        <v>72</v>
      </c>
      <c r="M16" s="9" t="str">
        <f t="shared" si="0"/>
        <v>10-20%</v>
      </c>
    </row>
    <row r="17">
      <c r="A17" s="10">
        <v>45140</v>
      </c>
      <c r="B17" s="9" t="s">
        <v>85</v>
      </c>
      <c r="C17" s="9" t="s">
        <v>14</v>
      </c>
      <c r="D17" s="9" t="s">
        <v>10</v>
      </c>
      <c r="E17" s="9" t="s">
        <v>19</v>
      </c>
      <c r="F17" s="9" t="s">
        <v>62</v>
      </c>
      <c r="G17" s="9">
        <v>299.01999999999998</v>
      </c>
      <c r="H17" s="9">
        <v>5</v>
      </c>
      <c r="I17" s="9">
        <v>1495.0999999999999</v>
      </c>
      <c r="J17" s="9">
        <v>0.059999999999999998</v>
      </c>
      <c r="K17" s="9">
        <v>281.88</v>
      </c>
      <c r="L17" s="9" t="s">
        <v>63</v>
      </c>
      <c r="M17" s="9" t="str">
        <f t="shared" si="0"/>
        <v>20%+</v>
      </c>
    </row>
    <row r="18">
      <c r="A18" s="10">
        <v>45050</v>
      </c>
      <c r="B18" s="9" t="s">
        <v>86</v>
      </c>
      <c r="C18" s="9" t="s">
        <v>14</v>
      </c>
      <c r="D18" s="9" t="s">
        <v>8</v>
      </c>
      <c r="E18" s="9" t="s">
        <v>19</v>
      </c>
      <c r="F18" s="9" t="s">
        <v>57</v>
      </c>
      <c r="G18" s="9">
        <v>189.87</v>
      </c>
      <c r="H18" s="9">
        <v>15</v>
      </c>
      <c r="I18" s="9">
        <v>2848.0500000000002</v>
      </c>
      <c r="J18" s="9">
        <v>0.029999999999999999</v>
      </c>
      <c r="K18" s="9">
        <v>304.58999999999997</v>
      </c>
      <c r="L18" s="9" t="s">
        <v>72</v>
      </c>
      <c r="M18" s="9" t="str">
        <f t="shared" si="0"/>
        <v>0-10%</v>
      </c>
    </row>
    <row r="19">
      <c r="A19" s="10">
        <v>45161</v>
      </c>
      <c r="B19" s="9" t="s">
        <v>87</v>
      </c>
      <c r="C19" s="9" t="s">
        <v>15</v>
      </c>
      <c r="D19" s="9" t="s">
        <v>10</v>
      </c>
      <c r="E19" s="9" t="s">
        <v>21</v>
      </c>
      <c r="F19" s="9" t="s">
        <v>88</v>
      </c>
      <c r="G19" s="9">
        <v>243.52000000000001</v>
      </c>
      <c r="H19" s="9">
        <v>11</v>
      </c>
      <c r="I19" s="9">
        <v>2678.7199999999998</v>
      </c>
      <c r="J19" s="9">
        <v>0.070000000000000007</v>
      </c>
      <c r="K19" s="9">
        <v>1.3700000000000001</v>
      </c>
      <c r="L19" s="9" t="s">
        <v>58</v>
      </c>
      <c r="M19" s="9" t="str">
        <f t="shared" si="0"/>
        <v>0-10%</v>
      </c>
    </row>
    <row r="20">
      <c r="A20" s="10">
        <v>45048</v>
      </c>
      <c r="B20" s="9" t="s">
        <v>89</v>
      </c>
      <c r="C20" s="9" t="s">
        <v>14</v>
      </c>
      <c r="D20" s="9" t="s">
        <v>11</v>
      </c>
      <c r="E20" s="9" t="s">
        <v>19</v>
      </c>
      <c r="F20" s="9" t="s">
        <v>67</v>
      </c>
      <c r="G20" s="9">
        <v>379.50999999999999</v>
      </c>
      <c r="H20" s="9">
        <v>2</v>
      </c>
      <c r="I20" s="9">
        <v>759.01999999999998</v>
      </c>
      <c r="J20" s="9">
        <v>0.11</v>
      </c>
      <c r="K20" s="9">
        <v>103.06999999999999</v>
      </c>
      <c r="L20" s="9" t="s">
        <v>72</v>
      </c>
      <c r="M20" s="9" t="str">
        <f t="shared" si="0"/>
        <v>0-10%</v>
      </c>
    </row>
    <row r="21">
      <c r="A21" s="10">
        <v>44929</v>
      </c>
      <c r="B21" s="9" t="s">
        <v>90</v>
      </c>
      <c r="C21" s="9" t="s">
        <v>17</v>
      </c>
      <c r="D21" s="9" t="s">
        <v>11</v>
      </c>
      <c r="E21" s="9" t="s">
        <v>19</v>
      </c>
      <c r="F21" s="9" t="s">
        <v>57</v>
      </c>
      <c r="G21" s="9">
        <v>231.31</v>
      </c>
      <c r="H21" s="9">
        <v>8</v>
      </c>
      <c r="I21" s="9">
        <v>1850.48</v>
      </c>
      <c r="J21" s="9">
        <v>0.080000000000000002</v>
      </c>
      <c r="K21" s="9">
        <v>-14.06</v>
      </c>
      <c r="L21" s="9" t="s">
        <v>58</v>
      </c>
      <c r="M21" s="9" t="str">
        <f t="shared" si="0"/>
        <v>10-20%</v>
      </c>
    </row>
    <row r="22">
      <c r="A22" s="10">
        <v>45183</v>
      </c>
      <c r="B22" s="9" t="s">
        <v>91</v>
      </c>
      <c r="C22" s="9" t="s">
        <v>16</v>
      </c>
      <c r="D22" s="9" t="s">
        <v>10</v>
      </c>
      <c r="E22" s="9" t="s">
        <v>22</v>
      </c>
      <c r="F22" s="9" t="s">
        <v>54</v>
      </c>
      <c r="G22" s="9">
        <v>33.079999999999998</v>
      </c>
      <c r="H22" s="9">
        <v>9</v>
      </c>
      <c r="I22" s="9">
        <v>297.72000000000003</v>
      </c>
      <c r="J22" s="9">
        <v>0.25</v>
      </c>
      <c r="K22" s="9">
        <v>-3.6400000000000001</v>
      </c>
      <c r="L22" s="9" t="s">
        <v>63</v>
      </c>
      <c r="M22" s="9" t="str">
        <f t="shared" si="0"/>
        <v>0-10%</v>
      </c>
    </row>
    <row r="23">
      <c r="A23" s="10">
        <v>45118</v>
      </c>
      <c r="B23" s="9" t="s">
        <v>92</v>
      </c>
      <c r="C23" s="9" t="s">
        <v>16</v>
      </c>
      <c r="D23" s="9" t="s">
        <v>12</v>
      </c>
      <c r="E23" s="9" t="s">
        <v>22</v>
      </c>
      <c r="F23" s="9" t="s">
        <v>71</v>
      </c>
      <c r="G23" s="9">
        <v>190.58000000000001</v>
      </c>
      <c r="H23" s="9">
        <v>4</v>
      </c>
      <c r="I23" s="9">
        <v>762.32000000000005</v>
      </c>
      <c r="J23" s="9">
        <v>0.029999999999999999</v>
      </c>
      <c r="K23" s="9">
        <v>144.78</v>
      </c>
      <c r="L23" s="9" t="s">
        <v>58</v>
      </c>
      <c r="M23" s="9" t="str">
        <f t="shared" si="0"/>
        <v>20%+</v>
      </c>
    </row>
    <row r="24">
      <c r="A24" s="10">
        <v>45286</v>
      </c>
      <c r="B24" s="9" t="s">
        <v>93</v>
      </c>
      <c r="C24" s="9" t="s">
        <v>17</v>
      </c>
      <c r="D24" s="9" t="s">
        <v>10</v>
      </c>
      <c r="E24" s="9" t="s">
        <v>21</v>
      </c>
      <c r="F24" s="9" t="s">
        <v>78</v>
      </c>
      <c r="G24" s="9">
        <v>72.969999999999999</v>
      </c>
      <c r="H24" s="9">
        <v>7</v>
      </c>
      <c r="I24" s="9">
        <v>510.79000000000002</v>
      </c>
      <c r="J24" s="9">
        <v>0.17000000000000001</v>
      </c>
      <c r="K24" s="9">
        <v>-57.25</v>
      </c>
      <c r="L24" s="9" t="s">
        <v>63</v>
      </c>
      <c r="M24" s="9" t="str">
        <f t="shared" si="0"/>
        <v>0-10%</v>
      </c>
    </row>
    <row r="25">
      <c r="A25" s="10">
        <v>45108</v>
      </c>
      <c r="B25" s="9" t="s">
        <v>94</v>
      </c>
      <c r="C25" s="9" t="s">
        <v>14</v>
      </c>
      <c r="D25" s="9" t="s">
        <v>12</v>
      </c>
      <c r="E25" s="9" t="s">
        <v>21</v>
      </c>
      <c r="F25" s="9" t="s">
        <v>76</v>
      </c>
      <c r="G25" s="9">
        <v>72.75</v>
      </c>
      <c r="H25" s="9">
        <v>10</v>
      </c>
      <c r="I25" s="9">
        <v>727.5</v>
      </c>
      <c r="J25" s="9">
        <v>0</v>
      </c>
      <c r="K25" s="9">
        <v>110.16</v>
      </c>
      <c r="L25" s="9" t="s">
        <v>72</v>
      </c>
      <c r="M25" s="9" t="str">
        <f t="shared" si="0"/>
        <v>10-20%</v>
      </c>
    </row>
    <row r="26">
      <c r="A26" s="10">
        <v>45193</v>
      </c>
      <c r="B26" s="9" t="s">
        <v>95</v>
      </c>
      <c r="C26" s="9" t="s">
        <v>17</v>
      </c>
      <c r="D26" s="9" t="s">
        <v>11</v>
      </c>
      <c r="E26" s="9" t="s">
        <v>21</v>
      </c>
      <c r="F26" s="9" t="s">
        <v>96</v>
      </c>
      <c r="G26" s="9">
        <v>149.56</v>
      </c>
      <c r="H26" s="9">
        <v>1</v>
      </c>
      <c r="I26" s="9">
        <v>149.56</v>
      </c>
      <c r="J26" s="9">
        <v>0</v>
      </c>
      <c r="K26" s="9">
        <v>26.82</v>
      </c>
      <c r="L26" s="9" t="s">
        <v>63</v>
      </c>
      <c r="M26" s="9" t="str">
        <f t="shared" si="0"/>
        <v>0-10%</v>
      </c>
    </row>
    <row r="27">
      <c r="A27" s="10">
        <v>45055</v>
      </c>
      <c r="B27" s="9" t="s">
        <v>97</v>
      </c>
      <c r="C27" s="9" t="s">
        <v>14</v>
      </c>
      <c r="D27" s="9" t="s">
        <v>9</v>
      </c>
      <c r="E27" s="9" t="s">
        <v>19</v>
      </c>
      <c r="F27" s="9" t="s">
        <v>98</v>
      </c>
      <c r="G27" s="9">
        <v>182.25</v>
      </c>
      <c r="H27" s="9">
        <v>8</v>
      </c>
      <c r="I27" s="9">
        <v>1458</v>
      </c>
      <c r="J27" s="9">
        <v>0.13</v>
      </c>
      <c r="K27" s="9">
        <v>-81.219999999999999</v>
      </c>
      <c r="L27" s="9" t="s">
        <v>63</v>
      </c>
      <c r="M27" s="9" t="str">
        <f t="shared" si="0"/>
        <v>0-10%</v>
      </c>
    </row>
    <row r="28">
      <c r="A28" s="10">
        <v>44998</v>
      </c>
      <c r="B28" s="9" t="s">
        <v>99</v>
      </c>
      <c r="C28" s="9" t="s">
        <v>15</v>
      </c>
      <c r="D28" s="9" t="s">
        <v>12</v>
      </c>
      <c r="E28" s="9" t="s">
        <v>19</v>
      </c>
      <c r="F28" s="9" t="s">
        <v>98</v>
      </c>
      <c r="G28" s="9">
        <v>237.53999999999999</v>
      </c>
      <c r="H28" s="9">
        <v>1</v>
      </c>
      <c r="I28" s="9">
        <v>237.53999999999999</v>
      </c>
      <c r="J28" s="9">
        <v>0.16</v>
      </c>
      <c r="K28" s="9">
        <v>-14.69</v>
      </c>
      <c r="L28" s="9" t="s">
        <v>63</v>
      </c>
      <c r="M28" s="9" t="str">
        <f t="shared" si="0"/>
        <v>10-20%</v>
      </c>
    </row>
    <row r="29">
      <c r="A29" s="10">
        <v>45175</v>
      </c>
      <c r="B29" s="9" t="s">
        <v>100</v>
      </c>
      <c r="C29" s="9" t="s">
        <v>14</v>
      </c>
      <c r="D29" s="9" t="s">
        <v>10</v>
      </c>
      <c r="E29" s="9" t="s">
        <v>20</v>
      </c>
      <c r="F29" s="9" t="s">
        <v>101</v>
      </c>
      <c r="G29" s="9">
        <v>181.44999999999999</v>
      </c>
      <c r="H29" s="9">
        <v>6</v>
      </c>
      <c r="I29" s="9">
        <v>1088.7</v>
      </c>
      <c r="J29" s="9">
        <v>0.17000000000000001</v>
      </c>
      <c r="K29" s="9">
        <v>86.719999999999999</v>
      </c>
      <c r="L29" s="9" t="s">
        <v>58</v>
      </c>
      <c r="M29" s="9" t="str">
        <f t="shared" si="0"/>
        <v>10-20%</v>
      </c>
    </row>
    <row r="30">
      <c r="A30" s="10">
        <v>45082</v>
      </c>
      <c r="B30" s="9" t="s">
        <v>102</v>
      </c>
      <c r="C30" s="9" t="s">
        <v>17</v>
      </c>
      <c r="D30" s="9" t="s">
        <v>12</v>
      </c>
      <c r="E30" s="9" t="s">
        <v>19</v>
      </c>
      <c r="F30" s="9" t="s">
        <v>67</v>
      </c>
      <c r="G30" s="9">
        <v>460.06</v>
      </c>
      <c r="H30" s="9">
        <v>11</v>
      </c>
      <c r="I30" s="9">
        <v>5060.6599999999999</v>
      </c>
      <c r="J30" s="9">
        <v>0.28000000000000003</v>
      </c>
      <c r="K30" s="9">
        <v>-165.21000000000001</v>
      </c>
      <c r="L30" s="9" t="s">
        <v>58</v>
      </c>
      <c r="M30" s="9" t="str">
        <f t="shared" si="0"/>
        <v>10-20%</v>
      </c>
    </row>
    <row r="31">
      <c r="A31" s="10">
        <v>45042</v>
      </c>
      <c r="B31" s="9" t="s">
        <v>103</v>
      </c>
      <c r="C31" s="9" t="s">
        <v>14</v>
      </c>
      <c r="D31" s="9" t="s">
        <v>10</v>
      </c>
      <c r="E31" s="9" t="s">
        <v>20</v>
      </c>
      <c r="F31" s="9" t="s">
        <v>74</v>
      </c>
      <c r="G31" s="9">
        <v>144.99000000000001</v>
      </c>
      <c r="H31" s="9">
        <v>2</v>
      </c>
      <c r="I31" s="9">
        <v>289.98000000000002</v>
      </c>
      <c r="J31" s="9">
        <v>0.01</v>
      </c>
      <c r="K31" s="9">
        <v>63.759999999999998</v>
      </c>
      <c r="L31" s="9" t="s">
        <v>63</v>
      </c>
      <c r="M31" s="9" t="str">
        <f t="shared" si="0"/>
        <v>20%+</v>
      </c>
    </row>
    <row r="32">
      <c r="A32" s="10">
        <v>45079</v>
      </c>
      <c r="B32" s="9" t="s">
        <v>104</v>
      </c>
      <c r="C32" s="9" t="s">
        <v>17</v>
      </c>
      <c r="D32" s="9" t="s">
        <v>10</v>
      </c>
      <c r="E32" s="9" t="s">
        <v>19</v>
      </c>
      <c r="F32" s="9" t="s">
        <v>62</v>
      </c>
      <c r="G32" s="9">
        <v>428.29000000000002</v>
      </c>
      <c r="H32" s="9">
        <v>10</v>
      </c>
      <c r="I32" s="9">
        <v>4282.8999999999996</v>
      </c>
      <c r="J32" s="9">
        <v>0.070000000000000007</v>
      </c>
      <c r="K32" s="9">
        <v>758.49000000000001</v>
      </c>
      <c r="L32" s="9" t="s">
        <v>55</v>
      </c>
      <c r="M32" s="9" t="str">
        <f t="shared" si="0"/>
        <v>0-10%</v>
      </c>
    </row>
    <row r="33">
      <c r="A33" s="10">
        <v>45086</v>
      </c>
      <c r="B33" s="9" t="s">
        <v>105</v>
      </c>
      <c r="C33" s="9" t="s">
        <v>14</v>
      </c>
      <c r="D33" s="9" t="s">
        <v>9</v>
      </c>
      <c r="E33" s="9" t="s">
        <v>22</v>
      </c>
      <c r="F33" s="9" t="s">
        <v>84</v>
      </c>
      <c r="G33" s="9">
        <v>468.20999999999998</v>
      </c>
      <c r="H33" s="9">
        <v>7</v>
      </c>
      <c r="I33" s="9">
        <v>3277.4699999999998</v>
      </c>
      <c r="J33" s="9">
        <v>0.14000000000000001</v>
      </c>
      <c r="K33" s="9">
        <v>70.090000000000003</v>
      </c>
      <c r="L33" s="9" t="s">
        <v>63</v>
      </c>
      <c r="M33" s="9" t="str">
        <f t="shared" si="0"/>
        <v>0-10%</v>
      </c>
    </row>
    <row r="34">
      <c r="A34" s="10">
        <v>45155</v>
      </c>
      <c r="B34" s="9" t="s">
        <v>106</v>
      </c>
      <c r="C34" s="9" t="s">
        <v>14</v>
      </c>
      <c r="D34" s="9" t="s">
        <v>9</v>
      </c>
      <c r="E34" s="9" t="s">
        <v>22</v>
      </c>
      <c r="F34" s="9" t="s">
        <v>71</v>
      </c>
      <c r="G34" s="9">
        <v>315.11000000000001</v>
      </c>
      <c r="H34" s="9">
        <v>9</v>
      </c>
      <c r="I34" s="9">
        <v>2835.9899999999998</v>
      </c>
      <c r="J34" s="9">
        <v>0.13</v>
      </c>
      <c r="K34" s="9">
        <v>119.38</v>
      </c>
      <c r="L34" s="9" t="s">
        <v>58</v>
      </c>
      <c r="M34" s="9" t="str">
        <f t="shared" si="0"/>
        <v>10-20%</v>
      </c>
    </row>
    <row r="35">
      <c r="A35" s="10">
        <v>45253</v>
      </c>
      <c r="B35" s="9" t="s">
        <v>107</v>
      </c>
      <c r="C35" s="9" t="s">
        <v>17</v>
      </c>
      <c r="D35" s="9" t="s">
        <v>12</v>
      </c>
      <c r="E35" s="9" t="s">
        <v>20</v>
      </c>
      <c r="F35" s="9" t="s">
        <v>69</v>
      </c>
      <c r="G35" s="9">
        <v>279.81</v>
      </c>
      <c r="H35" s="9">
        <v>2</v>
      </c>
      <c r="I35" s="9">
        <v>559.62</v>
      </c>
      <c r="J35" s="9">
        <v>0.11</v>
      </c>
      <c r="K35" s="9">
        <v>-23.629999999999999</v>
      </c>
      <c r="L35" s="9" t="s">
        <v>55</v>
      </c>
      <c r="M35" s="9" t="str">
        <f t="shared" si="0"/>
        <v>10-20%</v>
      </c>
    </row>
    <row r="36">
      <c r="A36" s="10">
        <v>45081</v>
      </c>
      <c r="B36" s="9" t="s">
        <v>108</v>
      </c>
      <c r="C36" s="9" t="s">
        <v>14</v>
      </c>
      <c r="D36" s="9" t="s">
        <v>10</v>
      </c>
      <c r="E36" s="9" t="s">
        <v>21</v>
      </c>
      <c r="F36" s="9" t="s">
        <v>76</v>
      </c>
      <c r="G36" s="9">
        <v>113.56</v>
      </c>
      <c r="H36" s="9">
        <v>12</v>
      </c>
      <c r="I36" s="9">
        <v>1362.72</v>
      </c>
      <c r="J36" s="9">
        <v>0.050000000000000003</v>
      </c>
      <c r="K36" s="9">
        <v>8.3900000000000006</v>
      </c>
      <c r="L36" s="9" t="s">
        <v>58</v>
      </c>
      <c r="M36" s="9" t="str">
        <f t="shared" si="0"/>
        <v>10-20%</v>
      </c>
    </row>
    <row r="37">
      <c r="A37" s="10">
        <v>44941</v>
      </c>
      <c r="B37" s="9" t="s">
        <v>109</v>
      </c>
      <c r="C37" s="9" t="s">
        <v>14</v>
      </c>
      <c r="D37" s="9" t="s">
        <v>12</v>
      </c>
      <c r="E37" s="9" t="s">
        <v>22</v>
      </c>
      <c r="F37" s="9" t="s">
        <v>110</v>
      </c>
      <c r="G37" s="9">
        <v>285.61000000000001</v>
      </c>
      <c r="H37" s="9">
        <v>6</v>
      </c>
      <c r="I37" s="9">
        <v>1713.6600000000001</v>
      </c>
      <c r="J37" s="9">
        <v>0.27000000000000002</v>
      </c>
      <c r="K37" s="9">
        <v>-156</v>
      </c>
      <c r="L37" s="9" t="s">
        <v>55</v>
      </c>
      <c r="M37" s="9" t="str">
        <f t="shared" si="0"/>
        <v>0-10%</v>
      </c>
    </row>
    <row r="38">
      <c r="A38" s="10">
        <v>45029</v>
      </c>
      <c r="B38" s="9" t="s">
        <v>111</v>
      </c>
      <c r="C38" s="9" t="s">
        <v>17</v>
      </c>
      <c r="D38" s="9" t="s">
        <v>12</v>
      </c>
      <c r="E38" s="9" t="s">
        <v>21</v>
      </c>
      <c r="F38" s="9" t="s">
        <v>82</v>
      </c>
      <c r="G38" s="9">
        <v>299.87</v>
      </c>
      <c r="H38" s="9">
        <v>11</v>
      </c>
      <c r="I38" s="9">
        <v>3298.5700000000002</v>
      </c>
      <c r="J38" s="9">
        <v>0.02</v>
      </c>
      <c r="K38" s="9">
        <v>293.75</v>
      </c>
      <c r="L38" s="9" t="s">
        <v>58</v>
      </c>
      <c r="M38" s="9" t="str">
        <f t="shared" si="0"/>
        <v>20%+</v>
      </c>
    </row>
    <row r="39">
      <c r="A39" s="10">
        <v>45226</v>
      </c>
      <c r="B39" s="9" t="s">
        <v>112</v>
      </c>
      <c r="C39" s="9" t="s">
        <v>16</v>
      </c>
      <c r="D39" s="9" t="s">
        <v>9</v>
      </c>
      <c r="E39" s="9" t="s">
        <v>22</v>
      </c>
      <c r="F39" s="9" t="s">
        <v>54</v>
      </c>
      <c r="G39" s="9">
        <v>31.059999999999999</v>
      </c>
      <c r="H39" s="9">
        <v>15</v>
      </c>
      <c r="I39" s="9">
        <v>465.89999999999998</v>
      </c>
      <c r="J39" s="9">
        <v>0.19</v>
      </c>
      <c r="K39" s="9">
        <v>0.22</v>
      </c>
      <c r="L39" s="9" t="s">
        <v>55</v>
      </c>
      <c r="M39" s="9" t="str">
        <f t="shared" si="0"/>
        <v>0-10%</v>
      </c>
    </row>
    <row r="40">
      <c r="A40" s="10">
        <v>45075</v>
      </c>
      <c r="B40" s="9" t="s">
        <v>113</v>
      </c>
      <c r="C40" s="9" t="s">
        <v>17</v>
      </c>
      <c r="D40" s="9" t="s">
        <v>9</v>
      </c>
      <c r="E40" s="9" t="s">
        <v>19</v>
      </c>
      <c r="F40" s="9" t="s">
        <v>67</v>
      </c>
      <c r="G40" s="9">
        <v>427.50999999999999</v>
      </c>
      <c r="H40" s="9">
        <v>8</v>
      </c>
      <c r="I40" s="9">
        <v>3420.0799999999999</v>
      </c>
      <c r="J40" s="9">
        <v>0.23000000000000001</v>
      </c>
      <c r="K40" s="9">
        <v>-392.97000000000003</v>
      </c>
      <c r="L40" s="9" t="s">
        <v>55</v>
      </c>
      <c r="M40" s="9" t="str">
        <f t="shared" si="0"/>
        <v>10-20%</v>
      </c>
    </row>
    <row r="41">
      <c r="A41" s="10">
        <v>45155</v>
      </c>
      <c r="B41" s="9" t="s">
        <v>114</v>
      </c>
      <c r="C41" s="9" t="s">
        <v>16</v>
      </c>
      <c r="D41" s="9" t="s">
        <v>9</v>
      </c>
      <c r="E41" s="9" t="s">
        <v>20</v>
      </c>
      <c r="F41" s="9" t="s">
        <v>69</v>
      </c>
      <c r="G41" s="9">
        <v>135.5</v>
      </c>
      <c r="H41" s="9">
        <v>2</v>
      </c>
      <c r="I41" s="9">
        <v>271</v>
      </c>
      <c r="J41" s="9">
        <v>0.10000000000000001</v>
      </c>
      <c r="K41" s="9">
        <v>25.600000000000001</v>
      </c>
      <c r="L41" s="9" t="s">
        <v>63</v>
      </c>
      <c r="M41" s="9" t="str">
        <f t="shared" si="0"/>
        <v>20%+</v>
      </c>
    </row>
    <row r="42">
      <c r="A42" s="10">
        <v>45207</v>
      </c>
      <c r="B42" s="9" t="s">
        <v>115</v>
      </c>
      <c r="C42" s="9" t="s">
        <v>14</v>
      </c>
      <c r="D42" s="9" t="s">
        <v>10</v>
      </c>
      <c r="E42" s="9" t="s">
        <v>19</v>
      </c>
      <c r="F42" s="9" t="s">
        <v>62</v>
      </c>
      <c r="G42" s="9">
        <v>100.8</v>
      </c>
      <c r="H42" s="9">
        <v>7</v>
      </c>
      <c r="I42" s="9">
        <v>705.60000000000002</v>
      </c>
      <c r="J42" s="9">
        <v>0.25</v>
      </c>
      <c r="K42" s="9">
        <v>-113.72</v>
      </c>
      <c r="L42" s="9" t="s">
        <v>55</v>
      </c>
      <c r="M42" s="9" t="str">
        <f t="shared" si="0"/>
        <v>0-10%</v>
      </c>
    </row>
    <row r="43">
      <c r="A43" s="10">
        <v>45214</v>
      </c>
      <c r="B43" s="9" t="s">
        <v>116</v>
      </c>
      <c r="C43" s="9" t="s">
        <v>14</v>
      </c>
      <c r="D43" s="9" t="s">
        <v>9</v>
      </c>
      <c r="E43" s="9" t="s">
        <v>21</v>
      </c>
      <c r="F43" s="9" t="s">
        <v>78</v>
      </c>
      <c r="G43" s="9">
        <v>364.98000000000002</v>
      </c>
      <c r="H43" s="9">
        <v>12</v>
      </c>
      <c r="I43" s="9">
        <v>4379.7600000000002</v>
      </c>
      <c r="J43" s="9">
        <v>0.27000000000000002</v>
      </c>
      <c r="K43" s="9">
        <v>-383.94999999999999</v>
      </c>
      <c r="L43" s="9" t="s">
        <v>58</v>
      </c>
      <c r="M43" s="9" t="str">
        <f t="shared" si="0"/>
        <v>20%+</v>
      </c>
    </row>
    <row r="44">
      <c r="A44" s="10">
        <v>44981</v>
      </c>
      <c r="B44" s="9" t="s">
        <v>117</v>
      </c>
      <c r="C44" s="9" t="s">
        <v>17</v>
      </c>
      <c r="D44" s="9" t="s">
        <v>10</v>
      </c>
      <c r="E44" s="9" t="s">
        <v>21</v>
      </c>
      <c r="F44" s="9" t="s">
        <v>76</v>
      </c>
      <c r="G44" s="9">
        <v>269.80000000000001</v>
      </c>
      <c r="H44" s="9">
        <v>5</v>
      </c>
      <c r="I44" s="9">
        <v>1349</v>
      </c>
      <c r="J44" s="9">
        <v>0.19</v>
      </c>
      <c r="K44" s="9">
        <v>-139.41</v>
      </c>
      <c r="L44" s="9" t="s">
        <v>72</v>
      </c>
      <c r="M44" s="9" t="str">
        <f t="shared" si="0"/>
        <v>20%+</v>
      </c>
    </row>
    <row r="45">
      <c r="A45" s="10">
        <v>45194</v>
      </c>
      <c r="B45" s="9" t="s">
        <v>118</v>
      </c>
      <c r="C45" s="9" t="s">
        <v>15</v>
      </c>
      <c r="D45" s="9" t="s">
        <v>9</v>
      </c>
      <c r="E45" s="9" t="s">
        <v>22</v>
      </c>
      <c r="F45" s="9" t="s">
        <v>84</v>
      </c>
      <c r="G45" s="9">
        <v>55.530000000000001</v>
      </c>
      <c r="H45" s="9">
        <v>9</v>
      </c>
      <c r="I45" s="9">
        <v>499.76999999999998</v>
      </c>
      <c r="J45" s="9">
        <v>0.17000000000000001</v>
      </c>
      <c r="K45" s="9">
        <v>-1.53</v>
      </c>
      <c r="L45" s="9" t="s">
        <v>63</v>
      </c>
      <c r="M45" s="9" t="str">
        <f t="shared" si="0"/>
        <v>10-20%</v>
      </c>
    </row>
    <row r="46">
      <c r="A46" s="10">
        <v>45166</v>
      </c>
      <c r="B46" s="9" t="s">
        <v>119</v>
      </c>
      <c r="C46" s="9" t="s">
        <v>15</v>
      </c>
      <c r="D46" s="9" t="s">
        <v>10</v>
      </c>
      <c r="E46" s="9" t="s">
        <v>22</v>
      </c>
      <c r="F46" s="9" t="s">
        <v>54</v>
      </c>
      <c r="G46" s="9">
        <v>17.539999999999999</v>
      </c>
      <c r="H46" s="9">
        <v>2</v>
      </c>
      <c r="I46" s="9">
        <v>35.079999999999998</v>
      </c>
      <c r="J46" s="9">
        <v>0</v>
      </c>
      <c r="K46" s="9">
        <v>8.7100000000000009</v>
      </c>
      <c r="L46" s="9" t="s">
        <v>55</v>
      </c>
      <c r="M46" s="9" t="str">
        <f t="shared" si="0"/>
        <v>10-20%</v>
      </c>
    </row>
    <row r="47">
      <c r="A47" s="10">
        <v>45223</v>
      </c>
      <c r="B47" s="9" t="s">
        <v>120</v>
      </c>
      <c r="C47" s="9" t="s">
        <v>15</v>
      </c>
      <c r="D47" s="9" t="s">
        <v>8</v>
      </c>
      <c r="E47" s="9" t="s">
        <v>22</v>
      </c>
      <c r="F47" s="9" t="s">
        <v>54</v>
      </c>
      <c r="G47" s="9">
        <v>287.63999999999999</v>
      </c>
      <c r="H47" s="9">
        <v>2</v>
      </c>
      <c r="I47" s="9">
        <v>575.27999999999997</v>
      </c>
      <c r="J47" s="9">
        <v>0.20000000000000001</v>
      </c>
      <c r="K47" s="9">
        <v>-6.0499999999999998</v>
      </c>
      <c r="L47" s="9" t="s">
        <v>72</v>
      </c>
      <c r="M47" s="9" t="str">
        <f t="shared" si="0"/>
        <v>0-10%</v>
      </c>
    </row>
    <row r="48">
      <c r="A48" s="10">
        <v>45009</v>
      </c>
      <c r="B48" s="9" t="s">
        <v>121</v>
      </c>
      <c r="C48" s="9" t="s">
        <v>16</v>
      </c>
      <c r="D48" s="9" t="s">
        <v>11</v>
      </c>
      <c r="E48" s="9" t="s">
        <v>21</v>
      </c>
      <c r="F48" s="9" t="s">
        <v>82</v>
      </c>
      <c r="G48" s="9">
        <v>78.969999999999999</v>
      </c>
      <c r="H48" s="9">
        <v>1</v>
      </c>
      <c r="I48" s="9">
        <v>78.969999999999999</v>
      </c>
      <c r="J48" s="9">
        <v>0</v>
      </c>
      <c r="K48" s="9">
        <v>19.530000000000001</v>
      </c>
      <c r="L48" s="9" t="s">
        <v>63</v>
      </c>
      <c r="M48" s="9" t="str">
        <f t="shared" si="0"/>
        <v>10-20%</v>
      </c>
    </row>
    <row r="49">
      <c r="A49" s="10">
        <v>45216</v>
      </c>
      <c r="B49" s="9" t="s">
        <v>122</v>
      </c>
      <c r="C49" s="9" t="s">
        <v>17</v>
      </c>
      <c r="D49" s="9" t="s">
        <v>9</v>
      </c>
      <c r="E49" s="9" t="s">
        <v>21</v>
      </c>
      <c r="F49" s="9" t="s">
        <v>78</v>
      </c>
      <c r="G49" s="9">
        <v>217.55000000000001</v>
      </c>
      <c r="H49" s="9">
        <v>4</v>
      </c>
      <c r="I49" s="9">
        <v>870.20000000000005</v>
      </c>
      <c r="J49" s="9">
        <v>0.19</v>
      </c>
      <c r="K49" s="9">
        <v>-83.760000000000005</v>
      </c>
      <c r="L49" s="9" t="s">
        <v>55</v>
      </c>
      <c r="M49" s="9" t="str">
        <f t="shared" si="0"/>
        <v>0-10%</v>
      </c>
    </row>
    <row r="50">
      <c r="A50" s="10">
        <v>45175</v>
      </c>
      <c r="B50" s="9" t="s">
        <v>123</v>
      </c>
      <c r="C50" s="9" t="s">
        <v>17</v>
      </c>
      <c r="D50" s="9" t="s">
        <v>11</v>
      </c>
      <c r="E50" s="9" t="s">
        <v>21</v>
      </c>
      <c r="F50" s="9" t="s">
        <v>88</v>
      </c>
      <c r="G50" s="9">
        <v>493.36000000000001</v>
      </c>
      <c r="H50" s="9">
        <v>14</v>
      </c>
      <c r="I50" s="9">
        <v>6907.04</v>
      </c>
      <c r="J50" s="9">
        <v>0.02</v>
      </c>
      <c r="K50" s="9">
        <v>314.62</v>
      </c>
      <c r="L50" s="9" t="s">
        <v>55</v>
      </c>
      <c r="M50" s="9" t="str">
        <f t="shared" si="0"/>
        <v>10-20%</v>
      </c>
    </row>
    <row r="51">
      <c r="A51" s="10">
        <v>45192</v>
      </c>
      <c r="B51" s="9" t="s">
        <v>124</v>
      </c>
      <c r="C51" s="9" t="s">
        <v>16</v>
      </c>
      <c r="D51" s="9" t="s">
        <v>12</v>
      </c>
      <c r="E51" s="9" t="s">
        <v>22</v>
      </c>
      <c r="F51" s="9" t="s">
        <v>125</v>
      </c>
      <c r="G51" s="9">
        <v>423.02999999999997</v>
      </c>
      <c r="H51" s="9">
        <v>15</v>
      </c>
      <c r="I51" s="9">
        <v>6345.4499999999998</v>
      </c>
      <c r="J51" s="9">
        <v>0.14000000000000001</v>
      </c>
      <c r="K51" s="9">
        <v>-296.79000000000002</v>
      </c>
      <c r="L51" s="9" t="s">
        <v>55</v>
      </c>
      <c r="M51" s="9" t="str">
        <f t="shared" si="0"/>
        <v>0-10%</v>
      </c>
    </row>
    <row r="52">
      <c r="A52" s="10">
        <v>45027</v>
      </c>
      <c r="B52" s="9" t="s">
        <v>126</v>
      </c>
      <c r="C52" s="9" t="s">
        <v>14</v>
      </c>
      <c r="D52" s="9" t="s">
        <v>9</v>
      </c>
      <c r="E52" s="9" t="s">
        <v>19</v>
      </c>
      <c r="F52" s="9" t="s">
        <v>62</v>
      </c>
      <c r="G52" s="9">
        <v>57.880000000000003</v>
      </c>
      <c r="H52" s="9">
        <v>11</v>
      </c>
      <c r="I52" s="9">
        <v>636.67999999999995</v>
      </c>
      <c r="J52" s="9">
        <v>0.17000000000000001</v>
      </c>
      <c r="K52" s="9">
        <v>-7.3799999999999999</v>
      </c>
      <c r="L52" s="9" t="s">
        <v>63</v>
      </c>
      <c r="M52" s="9" t="str">
        <f t="shared" si="0"/>
        <v>10-20%</v>
      </c>
    </row>
    <row r="53">
      <c r="A53" s="10">
        <v>45163</v>
      </c>
      <c r="B53" s="9" t="s">
        <v>127</v>
      </c>
      <c r="C53" s="9" t="s">
        <v>17</v>
      </c>
      <c r="D53" s="9" t="s">
        <v>12</v>
      </c>
      <c r="E53" s="9" t="s">
        <v>21</v>
      </c>
      <c r="F53" s="9" t="s">
        <v>76</v>
      </c>
      <c r="G53" s="9">
        <v>391.56</v>
      </c>
      <c r="H53" s="9">
        <v>3</v>
      </c>
      <c r="I53" s="9">
        <v>1174.6800000000001</v>
      </c>
      <c r="J53" s="9">
        <v>0.16</v>
      </c>
      <c r="K53" s="9">
        <v>-31.190000000000001</v>
      </c>
      <c r="L53" s="9" t="s">
        <v>63</v>
      </c>
      <c r="M53" s="9" t="str">
        <f t="shared" si="0"/>
        <v>10-20%</v>
      </c>
    </row>
    <row r="54">
      <c r="A54" s="10">
        <v>45286</v>
      </c>
      <c r="B54" s="9" t="s">
        <v>128</v>
      </c>
      <c r="C54" s="9" t="s">
        <v>14</v>
      </c>
      <c r="D54" s="9" t="s">
        <v>8</v>
      </c>
      <c r="E54" s="9" t="s">
        <v>20</v>
      </c>
      <c r="F54" s="9" t="s">
        <v>101</v>
      </c>
      <c r="G54" s="9">
        <v>443.02999999999997</v>
      </c>
      <c r="H54" s="9">
        <v>10</v>
      </c>
      <c r="I54" s="9">
        <v>4430.3000000000002</v>
      </c>
      <c r="J54" s="9">
        <v>0.12</v>
      </c>
      <c r="K54" s="9">
        <v>-93.769999999999996</v>
      </c>
      <c r="L54" s="9" t="s">
        <v>72</v>
      </c>
      <c r="M54" s="9" t="str">
        <f t="shared" si="0"/>
        <v>10-20%</v>
      </c>
    </row>
    <row r="55">
      <c r="A55" s="10">
        <v>45220</v>
      </c>
      <c r="B55" s="9" t="s">
        <v>129</v>
      </c>
      <c r="C55" s="9" t="s">
        <v>17</v>
      </c>
      <c r="D55" s="9" t="s">
        <v>11</v>
      </c>
      <c r="E55" s="9" t="s">
        <v>22</v>
      </c>
      <c r="F55" s="9" t="s">
        <v>54</v>
      </c>
      <c r="G55" s="9">
        <v>342.82999999999998</v>
      </c>
      <c r="H55" s="9">
        <v>4</v>
      </c>
      <c r="I55" s="9">
        <v>1371.3199999999999</v>
      </c>
      <c r="J55" s="9">
        <v>0.10000000000000001</v>
      </c>
      <c r="K55" s="9">
        <v>198.97</v>
      </c>
      <c r="L55" s="9" t="s">
        <v>63</v>
      </c>
      <c r="M55" s="9" t="str">
        <f t="shared" si="0"/>
        <v>10-20%</v>
      </c>
    </row>
    <row r="56">
      <c r="A56" s="10">
        <v>45224</v>
      </c>
      <c r="B56" s="9" t="s">
        <v>130</v>
      </c>
      <c r="C56" s="9" t="s">
        <v>14</v>
      </c>
      <c r="D56" s="9" t="s">
        <v>8</v>
      </c>
      <c r="E56" s="9" t="s">
        <v>21</v>
      </c>
      <c r="F56" s="9" t="s">
        <v>96</v>
      </c>
      <c r="G56" s="9">
        <v>64.909999999999997</v>
      </c>
      <c r="H56" s="9">
        <v>14</v>
      </c>
      <c r="I56" s="9">
        <v>908.74000000000001</v>
      </c>
      <c r="J56" s="9">
        <v>0.01</v>
      </c>
      <c r="K56" s="9">
        <v>147.15000000000001</v>
      </c>
      <c r="L56" s="9" t="s">
        <v>72</v>
      </c>
      <c r="M56" s="9" t="str">
        <f t="shared" si="0"/>
        <v>0-10%</v>
      </c>
    </row>
    <row r="57">
      <c r="A57" s="10">
        <v>45260</v>
      </c>
      <c r="B57" s="9" t="s">
        <v>131</v>
      </c>
      <c r="C57" s="9" t="s">
        <v>17</v>
      </c>
      <c r="D57" s="9" t="s">
        <v>12</v>
      </c>
      <c r="E57" s="9" t="s">
        <v>22</v>
      </c>
      <c r="F57" s="9" t="s">
        <v>110</v>
      </c>
      <c r="G57" s="9">
        <v>399.63</v>
      </c>
      <c r="H57" s="9">
        <v>9</v>
      </c>
      <c r="I57" s="9">
        <v>3596.6700000000001</v>
      </c>
      <c r="J57" s="9">
        <v>0</v>
      </c>
      <c r="K57" s="9">
        <v>834.75999999999999</v>
      </c>
      <c r="L57" s="9" t="s">
        <v>72</v>
      </c>
      <c r="M57" s="9" t="str">
        <f t="shared" si="0"/>
        <v>0-10%</v>
      </c>
    </row>
    <row r="58">
      <c r="A58" s="10">
        <v>45206</v>
      </c>
      <c r="B58" s="9" t="s">
        <v>132</v>
      </c>
      <c r="C58" s="9" t="s">
        <v>17</v>
      </c>
      <c r="D58" s="9" t="s">
        <v>9</v>
      </c>
      <c r="E58" s="9" t="s">
        <v>22</v>
      </c>
      <c r="F58" s="9" t="s">
        <v>125</v>
      </c>
      <c r="G58" s="9">
        <v>20.100000000000001</v>
      </c>
      <c r="H58" s="9">
        <v>6</v>
      </c>
      <c r="I58" s="9">
        <v>120.59999999999999</v>
      </c>
      <c r="J58" s="9">
        <v>0</v>
      </c>
      <c r="K58" s="9">
        <v>28.809999999999999</v>
      </c>
      <c r="L58" s="9" t="s">
        <v>58</v>
      </c>
      <c r="M58" s="9" t="str">
        <f t="shared" si="0"/>
        <v>0-10%</v>
      </c>
    </row>
    <row r="59">
      <c r="A59" s="10">
        <v>45161</v>
      </c>
      <c r="B59" s="9" t="s">
        <v>133</v>
      </c>
      <c r="C59" s="9" t="s">
        <v>17</v>
      </c>
      <c r="D59" s="9" t="s">
        <v>9</v>
      </c>
      <c r="E59" s="9" t="s">
        <v>19</v>
      </c>
      <c r="F59" s="9" t="s">
        <v>98</v>
      </c>
      <c r="G59" s="9">
        <v>372.00999999999999</v>
      </c>
      <c r="H59" s="9">
        <v>13</v>
      </c>
      <c r="I59" s="9">
        <v>4836.1300000000001</v>
      </c>
      <c r="J59" s="9">
        <v>0.17999999999999999</v>
      </c>
      <c r="K59" s="9">
        <v>-551.21000000000004</v>
      </c>
      <c r="L59" s="9" t="s">
        <v>72</v>
      </c>
      <c r="M59" s="9" t="str">
        <f t="shared" si="0"/>
        <v>0-10%</v>
      </c>
    </row>
    <row r="60">
      <c r="A60" s="10">
        <v>45031</v>
      </c>
      <c r="B60" s="9" t="s">
        <v>134</v>
      </c>
      <c r="C60" s="9" t="s">
        <v>15</v>
      </c>
      <c r="D60" s="9" t="s">
        <v>8</v>
      </c>
      <c r="E60" s="9" t="s">
        <v>20</v>
      </c>
      <c r="F60" s="9" t="s">
        <v>65</v>
      </c>
      <c r="G60" s="9">
        <v>318.13999999999999</v>
      </c>
      <c r="H60" s="9">
        <v>15</v>
      </c>
      <c r="I60" s="9">
        <v>4772.1000000000004</v>
      </c>
      <c r="J60" s="9">
        <v>0.26000000000000001</v>
      </c>
      <c r="K60" s="9">
        <v>-425.70999999999998</v>
      </c>
      <c r="L60" s="9" t="s">
        <v>58</v>
      </c>
      <c r="M60" s="9" t="str">
        <f t="shared" si="0"/>
        <v>10-20%</v>
      </c>
    </row>
    <row r="61">
      <c r="A61" s="10">
        <v>45101</v>
      </c>
      <c r="B61" s="9" t="s">
        <v>135</v>
      </c>
      <c r="C61" s="9" t="s">
        <v>17</v>
      </c>
      <c r="D61" s="9" t="s">
        <v>10</v>
      </c>
      <c r="E61" s="9" t="s">
        <v>19</v>
      </c>
      <c r="F61" s="9" t="s">
        <v>67</v>
      </c>
      <c r="G61" s="9">
        <v>39.020000000000003</v>
      </c>
      <c r="H61" s="9">
        <v>4</v>
      </c>
      <c r="I61" s="9">
        <v>156.08000000000001</v>
      </c>
      <c r="J61" s="9">
        <v>0</v>
      </c>
      <c r="K61" s="9">
        <v>26.899999999999999</v>
      </c>
      <c r="L61" s="9" t="s">
        <v>55</v>
      </c>
      <c r="M61" s="9" t="str">
        <f t="shared" si="0"/>
        <v>20%+</v>
      </c>
    </row>
    <row r="62">
      <c r="A62" s="10">
        <v>45060</v>
      </c>
      <c r="B62" s="9" t="s">
        <v>136</v>
      </c>
      <c r="C62" s="9" t="s">
        <v>14</v>
      </c>
      <c r="D62" s="9" t="s">
        <v>9</v>
      </c>
      <c r="E62" s="9" t="s">
        <v>22</v>
      </c>
      <c r="F62" s="9" t="s">
        <v>125</v>
      </c>
      <c r="G62" s="9">
        <v>305.69999999999999</v>
      </c>
      <c r="H62" s="9">
        <v>15</v>
      </c>
      <c r="I62" s="9">
        <v>4585.5</v>
      </c>
      <c r="J62" s="9">
        <v>0.029999999999999999</v>
      </c>
      <c r="K62" s="9">
        <v>932</v>
      </c>
      <c r="L62" s="9" t="s">
        <v>63</v>
      </c>
      <c r="M62" s="9" t="str">
        <f t="shared" si="0"/>
        <v>0-10%</v>
      </c>
    </row>
    <row r="63">
      <c r="A63" s="10">
        <v>45208</v>
      </c>
      <c r="B63" s="9" t="s">
        <v>137</v>
      </c>
      <c r="C63" s="9" t="s">
        <v>17</v>
      </c>
      <c r="D63" s="9" t="s">
        <v>12</v>
      </c>
      <c r="E63" s="9" t="s">
        <v>19</v>
      </c>
      <c r="F63" s="9" t="s">
        <v>67</v>
      </c>
      <c r="G63" s="9">
        <v>79.219999999999999</v>
      </c>
      <c r="H63" s="9">
        <v>7</v>
      </c>
      <c r="I63" s="9">
        <v>554.53999999999996</v>
      </c>
      <c r="J63" s="9">
        <v>0.27000000000000002</v>
      </c>
      <c r="K63" s="9">
        <v>-57.030000000000001</v>
      </c>
      <c r="L63" s="9" t="s">
        <v>58</v>
      </c>
      <c r="M63" s="9" t="str">
        <f t="shared" si="0"/>
        <v>0-10%</v>
      </c>
    </row>
    <row r="64">
      <c r="A64" s="10">
        <v>45132</v>
      </c>
      <c r="B64" s="9" t="s">
        <v>138</v>
      </c>
      <c r="C64" s="9" t="s">
        <v>17</v>
      </c>
      <c r="D64" s="9" t="s">
        <v>10</v>
      </c>
      <c r="E64" s="9" t="s">
        <v>20</v>
      </c>
      <c r="F64" s="9" t="s">
        <v>80</v>
      </c>
      <c r="G64" s="9">
        <v>277.01999999999998</v>
      </c>
      <c r="H64" s="9">
        <v>6</v>
      </c>
      <c r="I64" s="9">
        <v>1662.1199999999999</v>
      </c>
      <c r="J64" s="9">
        <v>0.029999999999999999</v>
      </c>
      <c r="K64" s="9">
        <v>332.08999999999997</v>
      </c>
      <c r="L64" s="9" t="s">
        <v>72</v>
      </c>
      <c r="M64" s="9" t="str">
        <f t="shared" si="0"/>
        <v>20%+</v>
      </c>
    </row>
    <row r="65">
      <c r="A65" s="10">
        <v>44935</v>
      </c>
      <c r="B65" s="9" t="s">
        <v>139</v>
      </c>
      <c r="C65" s="9" t="s">
        <v>14</v>
      </c>
      <c r="D65" s="9" t="s">
        <v>11</v>
      </c>
      <c r="E65" s="9" t="s">
        <v>21</v>
      </c>
      <c r="F65" s="9" t="s">
        <v>96</v>
      </c>
      <c r="G65" s="9">
        <v>479.48000000000002</v>
      </c>
      <c r="H65" s="9">
        <v>9</v>
      </c>
      <c r="I65" s="9">
        <v>4315.3199999999997</v>
      </c>
      <c r="J65" s="9">
        <v>0.25</v>
      </c>
      <c r="K65" s="9">
        <v>-327.69999999999999</v>
      </c>
      <c r="L65" s="9" t="s">
        <v>58</v>
      </c>
      <c r="M65" s="9" t="str">
        <f t="shared" si="0"/>
        <v>0-10%</v>
      </c>
    </row>
    <row r="66">
      <c r="A66" s="10">
        <v>45099</v>
      </c>
      <c r="B66" s="9" t="s">
        <v>140</v>
      </c>
      <c r="C66" s="9" t="s">
        <v>15</v>
      </c>
      <c r="D66" s="9" t="s">
        <v>10</v>
      </c>
      <c r="E66" s="9" t="s">
        <v>19</v>
      </c>
      <c r="F66" s="9" t="s">
        <v>57</v>
      </c>
      <c r="G66" s="9">
        <v>305.51999999999998</v>
      </c>
      <c r="H66" s="9">
        <v>8</v>
      </c>
      <c r="I66" s="9">
        <v>2444.1599999999999</v>
      </c>
      <c r="J66" s="9">
        <v>0.050000000000000003</v>
      </c>
      <c r="K66" s="9">
        <v>293.69999999999999</v>
      </c>
      <c r="L66" s="9" t="s">
        <v>72</v>
      </c>
      <c r="M66" s="9" t="str">
        <f t="shared" si="0"/>
        <v>20%+</v>
      </c>
    </row>
    <row r="67">
      <c r="A67" s="10">
        <v>45084</v>
      </c>
      <c r="B67" s="9" t="s">
        <v>141</v>
      </c>
      <c r="C67" s="9" t="s">
        <v>15</v>
      </c>
      <c r="D67" s="9" t="s">
        <v>12</v>
      </c>
      <c r="E67" s="9" t="s">
        <v>21</v>
      </c>
      <c r="F67" s="9" t="s">
        <v>82</v>
      </c>
      <c r="G67" s="9">
        <v>451.24000000000001</v>
      </c>
      <c r="H67" s="9">
        <v>13</v>
      </c>
      <c r="I67" s="9">
        <v>5866.1199999999999</v>
      </c>
      <c r="J67" s="9">
        <v>0.23999999999999999</v>
      </c>
      <c r="K67" s="9">
        <v>-320.37</v>
      </c>
      <c r="L67" s="9" t="s">
        <v>63</v>
      </c>
      <c r="M67" s="9" t="str">
        <f t="shared" si="0"/>
        <v>0-10%</v>
      </c>
    </row>
    <row r="68">
      <c r="A68" s="10">
        <v>44990</v>
      </c>
      <c r="B68" s="9" t="s">
        <v>142</v>
      </c>
      <c r="C68" s="9" t="s">
        <v>14</v>
      </c>
      <c r="D68" s="9" t="s">
        <v>9</v>
      </c>
      <c r="E68" s="9" t="s">
        <v>19</v>
      </c>
      <c r="F68" s="9" t="s">
        <v>60</v>
      </c>
      <c r="G68" s="9">
        <v>222.16</v>
      </c>
      <c r="H68" s="9">
        <v>3</v>
      </c>
      <c r="I68" s="9">
        <v>666.48000000000002</v>
      </c>
      <c r="J68" s="9">
        <v>0.20999999999999999</v>
      </c>
      <c r="K68" s="9">
        <v>-16.98</v>
      </c>
      <c r="L68" s="9" t="s">
        <v>63</v>
      </c>
      <c r="M68" s="9" t="str">
        <f t="shared" si="0"/>
        <v>20%+</v>
      </c>
    </row>
    <row r="69">
      <c r="A69" s="10">
        <v>45178</v>
      </c>
      <c r="B69" s="9" t="s">
        <v>143</v>
      </c>
      <c r="C69" s="9" t="s">
        <v>14</v>
      </c>
      <c r="D69" s="9" t="s">
        <v>9</v>
      </c>
      <c r="E69" s="9" t="s">
        <v>20</v>
      </c>
      <c r="F69" s="9" t="s">
        <v>69</v>
      </c>
      <c r="G69" s="9">
        <v>367.77999999999997</v>
      </c>
      <c r="H69" s="9">
        <v>2</v>
      </c>
      <c r="I69" s="9">
        <v>735.55999999999995</v>
      </c>
      <c r="J69" s="9">
        <v>0.02</v>
      </c>
      <c r="K69" s="9">
        <v>145.44</v>
      </c>
      <c r="L69" s="9" t="s">
        <v>63</v>
      </c>
      <c r="M69" s="9" t="str">
        <f t="shared" si="0"/>
        <v>20%+</v>
      </c>
    </row>
    <row r="70">
      <c r="A70" s="10">
        <v>45284</v>
      </c>
      <c r="B70" s="9" t="s">
        <v>144</v>
      </c>
      <c r="C70" s="9" t="s">
        <v>16</v>
      </c>
      <c r="D70" s="9" t="s">
        <v>11</v>
      </c>
      <c r="E70" s="9" t="s">
        <v>20</v>
      </c>
      <c r="F70" s="9" t="s">
        <v>74</v>
      </c>
      <c r="G70" s="9">
        <v>388.00999999999999</v>
      </c>
      <c r="H70" s="9">
        <v>10</v>
      </c>
      <c r="I70" s="9">
        <v>3880.0999999999999</v>
      </c>
      <c r="J70" s="9">
        <v>0.089999999999999997</v>
      </c>
      <c r="K70" s="9">
        <v>-120.54000000000001</v>
      </c>
      <c r="L70" s="9" t="s">
        <v>58</v>
      </c>
      <c r="M70" s="9" t="str">
        <f t="shared" si="0"/>
        <v>0-10%</v>
      </c>
    </row>
    <row r="71">
      <c r="A71" s="10">
        <v>44967</v>
      </c>
      <c r="B71" s="9" t="s">
        <v>145</v>
      </c>
      <c r="C71" s="9" t="s">
        <v>14</v>
      </c>
      <c r="D71" s="9" t="s">
        <v>9</v>
      </c>
      <c r="E71" s="9" t="s">
        <v>22</v>
      </c>
      <c r="F71" s="9" t="s">
        <v>71</v>
      </c>
      <c r="G71" s="9">
        <v>196.69</v>
      </c>
      <c r="H71" s="9">
        <v>14</v>
      </c>
      <c r="I71" s="9">
        <v>2753.6599999999999</v>
      </c>
      <c r="J71" s="9">
        <v>0.23000000000000001</v>
      </c>
      <c r="K71" s="9">
        <v>-266.61000000000001</v>
      </c>
      <c r="L71" s="9" t="s">
        <v>55</v>
      </c>
      <c r="M71" s="9" t="str">
        <f t="shared" si="0"/>
        <v>0-10%</v>
      </c>
    </row>
    <row r="72">
      <c r="A72" s="10">
        <v>44937</v>
      </c>
      <c r="B72" s="9" t="s">
        <v>146</v>
      </c>
      <c r="C72" s="9" t="s">
        <v>16</v>
      </c>
      <c r="D72" s="9" t="s">
        <v>12</v>
      </c>
      <c r="E72" s="9" t="s">
        <v>22</v>
      </c>
      <c r="F72" s="9" t="s">
        <v>84</v>
      </c>
      <c r="G72" s="9">
        <v>92.590000000000003</v>
      </c>
      <c r="H72" s="9">
        <v>15</v>
      </c>
      <c r="I72" s="9">
        <v>1388.8499999999999</v>
      </c>
      <c r="J72" s="9">
        <v>0.28999999999999998</v>
      </c>
      <c r="K72" s="9">
        <v>-222.88</v>
      </c>
      <c r="L72" s="9" t="s">
        <v>55</v>
      </c>
      <c r="M72" s="9" t="str">
        <f t="shared" si="0"/>
        <v>20%+</v>
      </c>
    </row>
    <row r="73">
      <c r="A73" s="10">
        <v>44964</v>
      </c>
      <c r="B73" s="9" t="s">
        <v>147</v>
      </c>
      <c r="C73" s="9" t="s">
        <v>16</v>
      </c>
      <c r="D73" s="9" t="s">
        <v>11</v>
      </c>
      <c r="E73" s="9" t="s">
        <v>21</v>
      </c>
      <c r="F73" s="9" t="s">
        <v>76</v>
      </c>
      <c r="G73" s="9">
        <v>131.72999999999999</v>
      </c>
      <c r="H73" s="9">
        <v>1</v>
      </c>
      <c r="I73" s="9">
        <v>131.72999999999999</v>
      </c>
      <c r="J73" s="9">
        <v>0</v>
      </c>
      <c r="K73" s="9">
        <v>19.699999999999999</v>
      </c>
      <c r="L73" s="9" t="s">
        <v>72</v>
      </c>
      <c r="M73" s="9" t="str">
        <f t="shared" si="0"/>
        <v>20%+</v>
      </c>
    </row>
    <row r="74">
      <c r="A74" s="10">
        <v>45011</v>
      </c>
      <c r="B74" s="9" t="s">
        <v>148</v>
      </c>
      <c r="C74" s="9" t="s">
        <v>16</v>
      </c>
      <c r="D74" s="9" t="s">
        <v>12</v>
      </c>
      <c r="E74" s="9" t="s">
        <v>22</v>
      </c>
      <c r="F74" s="9" t="s">
        <v>71</v>
      </c>
      <c r="G74" s="9">
        <v>69.840000000000003</v>
      </c>
      <c r="H74" s="9">
        <v>5</v>
      </c>
      <c r="I74" s="9">
        <v>349.19999999999999</v>
      </c>
      <c r="J74" s="9">
        <v>0.080000000000000002</v>
      </c>
      <c r="K74" s="9">
        <v>31.25</v>
      </c>
      <c r="L74" s="9" t="s">
        <v>63</v>
      </c>
      <c r="M74" s="9" t="str">
        <f t="shared" si="0"/>
        <v>0-10%</v>
      </c>
    </row>
    <row r="75">
      <c r="A75" s="10">
        <v>45109</v>
      </c>
      <c r="B75" s="9" t="s">
        <v>149</v>
      </c>
      <c r="C75" s="9" t="s">
        <v>14</v>
      </c>
      <c r="D75" s="9" t="s">
        <v>8</v>
      </c>
      <c r="E75" s="9" t="s">
        <v>22</v>
      </c>
      <c r="F75" s="9" t="s">
        <v>110</v>
      </c>
      <c r="G75" s="9">
        <v>382.51999999999998</v>
      </c>
      <c r="H75" s="9">
        <v>3</v>
      </c>
      <c r="I75" s="9">
        <v>1147.5599999999999</v>
      </c>
      <c r="J75" s="9">
        <v>0.17999999999999999</v>
      </c>
      <c r="K75" s="9">
        <v>-79.420000000000002</v>
      </c>
      <c r="L75" s="9" t="s">
        <v>72</v>
      </c>
      <c r="M75" s="9" t="str">
        <f t="shared" si="0"/>
        <v>0-10%</v>
      </c>
    </row>
    <row r="76">
      <c r="A76" s="10">
        <v>45028</v>
      </c>
      <c r="B76" s="9" t="s">
        <v>150</v>
      </c>
      <c r="C76" s="9" t="s">
        <v>16</v>
      </c>
      <c r="D76" s="9" t="s">
        <v>8</v>
      </c>
      <c r="E76" s="9" t="s">
        <v>21</v>
      </c>
      <c r="F76" s="9" t="s">
        <v>76</v>
      </c>
      <c r="G76" s="9">
        <v>310.68000000000001</v>
      </c>
      <c r="H76" s="9">
        <v>7</v>
      </c>
      <c r="I76" s="9">
        <v>2174.7600000000002</v>
      </c>
      <c r="J76" s="9">
        <v>0.14999999999999999</v>
      </c>
      <c r="K76" s="9">
        <v>93.829999999999998</v>
      </c>
      <c r="L76" s="9" t="s">
        <v>58</v>
      </c>
      <c r="M76" s="9" t="str">
        <f t="shared" si="0"/>
        <v>10-20%</v>
      </c>
    </row>
    <row r="77">
      <c r="A77" s="10">
        <v>45250</v>
      </c>
      <c r="B77" s="9" t="s">
        <v>151</v>
      </c>
      <c r="C77" s="9" t="s">
        <v>14</v>
      </c>
      <c r="D77" s="9" t="s">
        <v>8</v>
      </c>
      <c r="E77" s="9" t="s">
        <v>21</v>
      </c>
      <c r="F77" s="9" t="s">
        <v>88</v>
      </c>
      <c r="G77" s="9">
        <v>210.81999999999999</v>
      </c>
      <c r="H77" s="9">
        <v>2</v>
      </c>
      <c r="I77" s="9">
        <v>421.63999999999999</v>
      </c>
      <c r="J77" s="9">
        <v>0.28999999999999998</v>
      </c>
      <c r="K77" s="9">
        <v>-99.299999999999997</v>
      </c>
      <c r="L77" s="9" t="s">
        <v>72</v>
      </c>
      <c r="M77" s="9" t="str">
        <f t="shared" si="0"/>
        <v>10-20%</v>
      </c>
    </row>
    <row r="78">
      <c r="A78" s="10">
        <v>45184</v>
      </c>
      <c r="B78" s="9" t="s">
        <v>152</v>
      </c>
      <c r="C78" s="9" t="s">
        <v>15</v>
      </c>
      <c r="D78" s="9" t="s">
        <v>12</v>
      </c>
      <c r="E78" s="9" t="s">
        <v>21</v>
      </c>
      <c r="F78" s="9" t="s">
        <v>76</v>
      </c>
      <c r="G78" s="9">
        <v>297.19</v>
      </c>
      <c r="H78" s="9">
        <v>5</v>
      </c>
      <c r="I78" s="9">
        <v>1485.95</v>
      </c>
      <c r="J78" s="9">
        <v>0.28000000000000003</v>
      </c>
      <c r="K78" s="9">
        <v>-148.66</v>
      </c>
      <c r="L78" s="9" t="s">
        <v>55</v>
      </c>
      <c r="M78" s="9" t="str">
        <f t="shared" si="0"/>
        <v>20%+</v>
      </c>
    </row>
    <row r="79">
      <c r="A79" s="10">
        <v>45146</v>
      </c>
      <c r="B79" s="9" t="s">
        <v>153</v>
      </c>
      <c r="C79" s="9" t="s">
        <v>16</v>
      </c>
      <c r="D79" s="9" t="s">
        <v>9</v>
      </c>
      <c r="E79" s="9" t="s">
        <v>21</v>
      </c>
      <c r="F79" s="9" t="s">
        <v>96</v>
      </c>
      <c r="G79" s="9">
        <v>49.229999999999997</v>
      </c>
      <c r="H79" s="9">
        <v>7</v>
      </c>
      <c r="I79" s="9">
        <v>344.61000000000001</v>
      </c>
      <c r="J79" s="9">
        <v>0.19</v>
      </c>
      <c r="K79" s="9">
        <v>-26.609999999999999</v>
      </c>
      <c r="L79" s="9" t="s">
        <v>72</v>
      </c>
      <c r="M79" s="9" t="str">
        <f t="shared" si="0"/>
        <v>20%+</v>
      </c>
    </row>
    <row r="80">
      <c r="A80" s="10">
        <v>45287</v>
      </c>
      <c r="B80" s="9" t="s">
        <v>154</v>
      </c>
      <c r="C80" s="9" t="s">
        <v>17</v>
      </c>
      <c r="D80" s="9" t="s">
        <v>12</v>
      </c>
      <c r="E80" s="9" t="s">
        <v>19</v>
      </c>
      <c r="F80" s="9" t="s">
        <v>57</v>
      </c>
      <c r="G80" s="9">
        <v>53.630000000000003</v>
      </c>
      <c r="H80" s="9">
        <v>9</v>
      </c>
      <c r="I80" s="9">
        <v>482.67000000000002</v>
      </c>
      <c r="J80" s="9">
        <v>0.029999999999999999</v>
      </c>
      <c r="K80" s="9">
        <v>74.150000000000006</v>
      </c>
      <c r="L80" s="9" t="s">
        <v>55</v>
      </c>
      <c r="M80" s="9" t="str">
        <f t="shared" si="0"/>
        <v>10-20%</v>
      </c>
    </row>
    <row r="81">
      <c r="A81" s="10">
        <v>44932</v>
      </c>
      <c r="B81" s="9" t="s">
        <v>155</v>
      </c>
      <c r="C81" s="9" t="s">
        <v>16</v>
      </c>
      <c r="D81" s="9" t="s">
        <v>11</v>
      </c>
      <c r="E81" s="9" t="s">
        <v>22</v>
      </c>
      <c r="F81" s="9" t="s">
        <v>110</v>
      </c>
      <c r="G81" s="9">
        <v>433.86000000000001</v>
      </c>
      <c r="H81" s="9">
        <v>10</v>
      </c>
      <c r="I81" s="9">
        <v>4338.6000000000004</v>
      </c>
      <c r="J81" s="9">
        <v>0.02</v>
      </c>
      <c r="K81" s="9">
        <v>976.88</v>
      </c>
      <c r="L81" s="9" t="s">
        <v>58</v>
      </c>
      <c r="M81" s="9" t="str">
        <f t="shared" si="0"/>
        <v>0-10%</v>
      </c>
    </row>
    <row r="82">
      <c r="A82" s="10">
        <v>45284</v>
      </c>
      <c r="B82" s="9" t="s">
        <v>156</v>
      </c>
      <c r="C82" s="9" t="s">
        <v>14</v>
      </c>
      <c r="D82" s="9" t="s">
        <v>8</v>
      </c>
      <c r="E82" s="9" t="s">
        <v>19</v>
      </c>
      <c r="F82" s="9" t="s">
        <v>60</v>
      </c>
      <c r="G82" s="9">
        <v>480.48000000000002</v>
      </c>
      <c r="H82" s="9">
        <v>5</v>
      </c>
      <c r="I82" s="9">
        <v>2402.4000000000001</v>
      </c>
      <c r="J82" s="9">
        <v>0.26000000000000001</v>
      </c>
      <c r="K82" s="9">
        <v>-358.77999999999997</v>
      </c>
      <c r="L82" s="9" t="s">
        <v>72</v>
      </c>
      <c r="M82" s="9" t="str">
        <f t="shared" si="0"/>
        <v>0-10%</v>
      </c>
    </row>
    <row r="83">
      <c r="A83" s="10">
        <v>44983</v>
      </c>
      <c r="B83" s="9" t="s">
        <v>157</v>
      </c>
      <c r="C83" s="9" t="s">
        <v>16</v>
      </c>
      <c r="D83" s="9" t="s">
        <v>9</v>
      </c>
      <c r="E83" s="9" t="s">
        <v>19</v>
      </c>
      <c r="F83" s="9" t="s">
        <v>60</v>
      </c>
      <c r="G83" s="9">
        <v>499.35000000000002</v>
      </c>
      <c r="H83" s="9">
        <v>13</v>
      </c>
      <c r="I83" s="9">
        <v>6491.5500000000002</v>
      </c>
      <c r="J83" s="9">
        <v>0.13</v>
      </c>
      <c r="K83" s="9">
        <v>213.24000000000001</v>
      </c>
      <c r="L83" s="9" t="s">
        <v>72</v>
      </c>
      <c r="M83" s="9" t="str">
        <f t="shared" si="0"/>
        <v>20%+</v>
      </c>
    </row>
    <row r="84">
      <c r="A84" s="10">
        <v>44930</v>
      </c>
      <c r="B84" s="9" t="s">
        <v>158</v>
      </c>
      <c r="C84" s="9" t="s">
        <v>14</v>
      </c>
      <c r="D84" s="9" t="s">
        <v>10</v>
      </c>
      <c r="E84" s="9" t="s">
        <v>19</v>
      </c>
      <c r="F84" s="9" t="s">
        <v>98</v>
      </c>
      <c r="G84" s="9">
        <v>60.689999999999998</v>
      </c>
      <c r="H84" s="9">
        <v>12</v>
      </c>
      <c r="I84" s="9">
        <v>728.27999999999997</v>
      </c>
      <c r="J84" s="9">
        <v>0.070000000000000007</v>
      </c>
      <c r="K84" s="9">
        <v>3.3399999999999999</v>
      </c>
      <c r="L84" s="9" t="s">
        <v>55</v>
      </c>
      <c r="M84" s="9" t="str">
        <f t="shared" si="0"/>
        <v>10-20%</v>
      </c>
    </row>
    <row r="85">
      <c r="A85" s="10">
        <v>45212</v>
      </c>
      <c r="B85" s="9" t="s">
        <v>159</v>
      </c>
      <c r="C85" s="9" t="s">
        <v>16</v>
      </c>
      <c r="D85" s="9" t="s">
        <v>9</v>
      </c>
      <c r="E85" s="9" t="s">
        <v>20</v>
      </c>
      <c r="F85" s="9" t="s">
        <v>65</v>
      </c>
      <c r="G85" s="9">
        <v>142.18000000000001</v>
      </c>
      <c r="H85" s="9">
        <v>7</v>
      </c>
      <c r="I85" s="9">
        <v>995.25999999999999</v>
      </c>
      <c r="J85" s="9">
        <v>0.17000000000000001</v>
      </c>
      <c r="K85" s="9">
        <v>65.280000000000001</v>
      </c>
      <c r="L85" s="9" t="s">
        <v>63</v>
      </c>
      <c r="M85" s="9" t="str">
        <f t="shared" si="0"/>
        <v>0-10%</v>
      </c>
    </row>
    <row r="86">
      <c r="A86" s="10">
        <v>45110</v>
      </c>
      <c r="B86" s="9" t="s">
        <v>160</v>
      </c>
      <c r="C86" s="9" t="s">
        <v>14</v>
      </c>
      <c r="D86" s="9" t="s">
        <v>11</v>
      </c>
      <c r="E86" s="9" t="s">
        <v>19</v>
      </c>
      <c r="F86" s="9" t="s">
        <v>98</v>
      </c>
      <c r="G86" s="9">
        <v>217.13999999999999</v>
      </c>
      <c r="H86" s="9">
        <v>1</v>
      </c>
      <c r="I86" s="9">
        <v>217.13999999999999</v>
      </c>
      <c r="J86" s="9">
        <v>0.27000000000000002</v>
      </c>
      <c r="K86" s="9">
        <v>-28.02</v>
      </c>
      <c r="L86" s="9" t="s">
        <v>58</v>
      </c>
      <c r="M86" s="9" t="str">
        <f t="shared" si="0"/>
        <v>10-20%</v>
      </c>
    </row>
    <row r="87">
      <c r="A87" s="10">
        <v>45007</v>
      </c>
      <c r="B87" s="9" t="s">
        <v>161</v>
      </c>
      <c r="C87" s="9" t="s">
        <v>17</v>
      </c>
      <c r="D87" s="9" t="s">
        <v>12</v>
      </c>
      <c r="E87" s="9" t="s">
        <v>21</v>
      </c>
      <c r="F87" s="9" t="s">
        <v>76</v>
      </c>
      <c r="G87" s="9">
        <v>26.960000000000001</v>
      </c>
      <c r="H87" s="9">
        <v>12</v>
      </c>
      <c r="I87" s="9">
        <v>323.51999999999998</v>
      </c>
      <c r="J87" s="9">
        <v>0.28000000000000003</v>
      </c>
      <c r="K87" s="9">
        <v>-66.030000000000001</v>
      </c>
      <c r="L87" s="9" t="s">
        <v>72</v>
      </c>
      <c r="M87" s="9" t="str">
        <f t="shared" si="0"/>
        <v>20%+</v>
      </c>
    </row>
    <row r="88">
      <c r="A88" s="10">
        <v>45271</v>
      </c>
      <c r="B88" s="9" t="s">
        <v>162</v>
      </c>
      <c r="C88" s="9" t="s">
        <v>14</v>
      </c>
      <c r="D88" s="9" t="s">
        <v>11</v>
      </c>
      <c r="E88" s="9" t="s">
        <v>22</v>
      </c>
      <c r="F88" s="9" t="s">
        <v>125</v>
      </c>
      <c r="G88" s="9">
        <v>282.13</v>
      </c>
      <c r="H88" s="9">
        <v>3</v>
      </c>
      <c r="I88" s="9">
        <v>846.38999999999999</v>
      </c>
      <c r="J88" s="9">
        <v>0.22</v>
      </c>
      <c r="K88" s="9">
        <v>-14.57</v>
      </c>
      <c r="L88" s="9" t="s">
        <v>55</v>
      </c>
      <c r="M88" s="9" t="str">
        <f t="shared" si="0"/>
        <v>20%+</v>
      </c>
    </row>
    <row r="89">
      <c r="A89" s="10">
        <v>45182</v>
      </c>
      <c r="B89" s="9" t="s">
        <v>163</v>
      </c>
      <c r="C89" s="9" t="s">
        <v>17</v>
      </c>
      <c r="D89" s="9" t="s">
        <v>11</v>
      </c>
      <c r="E89" s="9" t="s">
        <v>22</v>
      </c>
      <c r="F89" s="9" t="s">
        <v>71</v>
      </c>
      <c r="G89" s="9">
        <v>483.55000000000001</v>
      </c>
      <c r="H89" s="9">
        <v>15</v>
      </c>
      <c r="I89" s="9">
        <v>7253.25</v>
      </c>
      <c r="J89" s="9">
        <v>0.040000000000000001</v>
      </c>
      <c r="K89" s="9">
        <v>726.55999999999995</v>
      </c>
      <c r="L89" s="9" t="s">
        <v>58</v>
      </c>
      <c r="M89" s="9" t="str">
        <f t="shared" si="0"/>
        <v>20%+</v>
      </c>
    </row>
    <row r="90">
      <c r="A90" s="10">
        <v>44957</v>
      </c>
      <c r="B90" s="9" t="s">
        <v>164</v>
      </c>
      <c r="C90" s="9" t="s">
        <v>17</v>
      </c>
      <c r="D90" s="9" t="s">
        <v>10</v>
      </c>
      <c r="E90" s="9" t="s">
        <v>21</v>
      </c>
      <c r="F90" s="9" t="s">
        <v>96</v>
      </c>
      <c r="G90" s="9">
        <v>428.55000000000001</v>
      </c>
      <c r="H90" s="9">
        <v>3</v>
      </c>
      <c r="I90" s="9">
        <v>1285.6500000000001</v>
      </c>
      <c r="J90" s="9">
        <v>0.13</v>
      </c>
      <c r="K90" s="9">
        <v>34.439999999999998</v>
      </c>
      <c r="L90" s="9" t="s">
        <v>72</v>
      </c>
      <c r="M90" s="9" t="str">
        <f t="shared" si="0"/>
        <v>0-10%</v>
      </c>
    </row>
    <row r="91">
      <c r="A91" s="10">
        <v>45049</v>
      </c>
      <c r="B91" s="9" t="s">
        <v>165</v>
      </c>
      <c r="C91" s="9" t="s">
        <v>17</v>
      </c>
      <c r="D91" s="9" t="s">
        <v>11</v>
      </c>
      <c r="E91" s="9" t="s">
        <v>20</v>
      </c>
      <c r="F91" s="9" t="s">
        <v>69</v>
      </c>
      <c r="G91" s="9">
        <v>290.80000000000001</v>
      </c>
      <c r="H91" s="9">
        <v>13</v>
      </c>
      <c r="I91" s="9">
        <v>3780.4000000000001</v>
      </c>
      <c r="J91" s="9">
        <v>0.02</v>
      </c>
      <c r="K91" s="9">
        <v>187.24000000000001</v>
      </c>
      <c r="L91" s="9" t="s">
        <v>58</v>
      </c>
      <c r="M91" s="9" t="str">
        <f t="shared" si="0"/>
        <v>10-20%</v>
      </c>
    </row>
    <row r="92">
      <c r="A92" s="10">
        <v>45261</v>
      </c>
      <c r="B92" s="9" t="s">
        <v>166</v>
      </c>
      <c r="C92" s="9" t="s">
        <v>17</v>
      </c>
      <c r="D92" s="9" t="s">
        <v>8</v>
      </c>
      <c r="E92" s="9" t="s">
        <v>19</v>
      </c>
      <c r="F92" s="9" t="s">
        <v>62</v>
      </c>
      <c r="G92" s="9">
        <v>444.06</v>
      </c>
      <c r="H92" s="9">
        <v>15</v>
      </c>
      <c r="I92" s="9">
        <v>6660.8999999999996</v>
      </c>
      <c r="J92" s="9">
        <v>0.14999999999999999</v>
      </c>
      <c r="K92" s="9">
        <v>239.80000000000001</v>
      </c>
      <c r="L92" s="9" t="s">
        <v>63</v>
      </c>
      <c r="M92" s="9" t="str">
        <f t="shared" si="0"/>
        <v>0-10%</v>
      </c>
    </row>
    <row r="93">
      <c r="A93" s="10">
        <v>45000</v>
      </c>
      <c r="B93" s="9" t="s">
        <v>167</v>
      </c>
      <c r="C93" s="9" t="s">
        <v>14</v>
      </c>
      <c r="D93" s="9" t="s">
        <v>8</v>
      </c>
      <c r="E93" s="9" t="s">
        <v>21</v>
      </c>
      <c r="F93" s="9" t="s">
        <v>88</v>
      </c>
      <c r="G93" s="9">
        <v>41.420000000000002</v>
      </c>
      <c r="H93" s="9">
        <v>14</v>
      </c>
      <c r="I93" s="9">
        <v>579.88</v>
      </c>
      <c r="J93" s="9">
        <v>0.25</v>
      </c>
      <c r="K93" s="9">
        <v>-5.1299999999999999</v>
      </c>
      <c r="L93" s="9" t="s">
        <v>55</v>
      </c>
      <c r="M93" s="9" t="str">
        <f t="shared" si="0"/>
        <v>10-20%</v>
      </c>
    </row>
    <row r="94">
      <c r="A94" s="10">
        <v>45202</v>
      </c>
      <c r="B94" s="9" t="s">
        <v>168</v>
      </c>
      <c r="C94" s="9" t="s">
        <v>17</v>
      </c>
      <c r="D94" s="9" t="s">
        <v>9</v>
      </c>
      <c r="E94" s="9" t="s">
        <v>21</v>
      </c>
      <c r="F94" s="9" t="s">
        <v>88</v>
      </c>
      <c r="G94" s="9">
        <v>379.47000000000003</v>
      </c>
      <c r="H94" s="9">
        <v>12</v>
      </c>
      <c r="I94" s="9">
        <v>4553.6400000000003</v>
      </c>
      <c r="J94" s="9">
        <v>0.01</v>
      </c>
      <c r="K94" s="9">
        <v>251.22999999999999</v>
      </c>
      <c r="L94" s="9" t="s">
        <v>72</v>
      </c>
      <c r="M94" s="9" t="str">
        <f t="shared" si="0"/>
        <v>20%+</v>
      </c>
    </row>
    <row r="95">
      <c r="A95" s="10">
        <v>44951</v>
      </c>
      <c r="B95" s="9" t="s">
        <v>169</v>
      </c>
      <c r="C95" s="9" t="s">
        <v>16</v>
      </c>
      <c r="D95" s="9" t="s">
        <v>11</v>
      </c>
      <c r="E95" s="9" t="s">
        <v>19</v>
      </c>
      <c r="F95" s="9" t="s">
        <v>57</v>
      </c>
      <c r="G95" s="9">
        <v>219.30000000000001</v>
      </c>
      <c r="H95" s="9">
        <v>15</v>
      </c>
      <c r="I95" s="9">
        <v>3289.5</v>
      </c>
      <c r="J95" s="9">
        <v>0.13</v>
      </c>
      <c r="K95" s="9">
        <v>307.31999999999999</v>
      </c>
      <c r="L95" s="9" t="s">
        <v>63</v>
      </c>
      <c r="M95" s="9" t="str">
        <f t="shared" si="0"/>
        <v>0-10%</v>
      </c>
    </row>
    <row r="96">
      <c r="A96" s="10">
        <v>44986</v>
      </c>
      <c r="B96" s="9" t="s">
        <v>170</v>
      </c>
      <c r="C96" s="9" t="s">
        <v>14</v>
      </c>
      <c r="D96" s="9" t="s">
        <v>8</v>
      </c>
      <c r="E96" s="9" t="s">
        <v>19</v>
      </c>
      <c r="F96" s="9" t="s">
        <v>67</v>
      </c>
      <c r="G96" s="9">
        <v>390.25999999999999</v>
      </c>
      <c r="H96" s="9">
        <v>14</v>
      </c>
      <c r="I96" s="9">
        <v>5463.6400000000003</v>
      </c>
      <c r="J96" s="9">
        <v>0.17000000000000001</v>
      </c>
      <c r="K96" s="9">
        <v>370.31</v>
      </c>
      <c r="L96" s="9" t="s">
        <v>72</v>
      </c>
      <c r="M96" s="9" t="str">
        <f t="shared" si="0"/>
        <v>10-20%</v>
      </c>
    </row>
    <row r="97">
      <c r="A97" s="10">
        <v>44992</v>
      </c>
      <c r="B97" s="9" t="s">
        <v>171</v>
      </c>
      <c r="C97" s="9" t="s">
        <v>15</v>
      </c>
      <c r="D97" s="9" t="s">
        <v>8</v>
      </c>
      <c r="E97" s="9" t="s">
        <v>22</v>
      </c>
      <c r="F97" s="9" t="s">
        <v>54</v>
      </c>
      <c r="G97" s="9">
        <v>395.13</v>
      </c>
      <c r="H97" s="9">
        <v>10</v>
      </c>
      <c r="I97" s="9">
        <v>3951.3000000000002</v>
      </c>
      <c r="J97" s="9">
        <v>0.22</v>
      </c>
      <c r="K97" s="9">
        <v>-441.86000000000001</v>
      </c>
      <c r="L97" s="9" t="s">
        <v>72</v>
      </c>
      <c r="M97" s="9" t="str">
        <f t="shared" si="0"/>
        <v>10-20%</v>
      </c>
    </row>
    <row r="98">
      <c r="A98" s="10">
        <v>45013</v>
      </c>
      <c r="B98" s="9" t="s">
        <v>172</v>
      </c>
      <c r="C98" s="9" t="s">
        <v>14</v>
      </c>
      <c r="D98" s="9" t="s">
        <v>12</v>
      </c>
      <c r="E98" s="9" t="s">
        <v>19</v>
      </c>
      <c r="F98" s="9" t="s">
        <v>60</v>
      </c>
      <c r="G98" s="9">
        <v>378.89999999999998</v>
      </c>
      <c r="H98" s="9">
        <v>12</v>
      </c>
      <c r="I98" s="9">
        <v>4546.8000000000002</v>
      </c>
      <c r="J98" s="9">
        <v>0.16</v>
      </c>
      <c r="K98" s="9">
        <v>205.08000000000001</v>
      </c>
      <c r="L98" s="9" t="s">
        <v>72</v>
      </c>
      <c r="M98" s="9" t="str">
        <f t="shared" si="0"/>
        <v>20%+</v>
      </c>
    </row>
    <row r="99">
      <c r="A99" s="10">
        <v>45209</v>
      </c>
      <c r="B99" s="9" t="s">
        <v>173</v>
      </c>
      <c r="C99" s="9" t="s">
        <v>15</v>
      </c>
      <c r="D99" s="9" t="s">
        <v>12</v>
      </c>
      <c r="E99" s="9" t="s">
        <v>20</v>
      </c>
      <c r="F99" s="9" t="s">
        <v>80</v>
      </c>
      <c r="G99" s="9">
        <v>144.40000000000001</v>
      </c>
      <c r="H99" s="9">
        <v>10</v>
      </c>
      <c r="I99" s="9">
        <v>1444</v>
      </c>
      <c r="J99" s="9">
        <v>0.16</v>
      </c>
      <c r="K99" s="9">
        <v>-32.159999999999997</v>
      </c>
      <c r="L99" s="9" t="s">
        <v>72</v>
      </c>
      <c r="M99" s="9" t="str">
        <f t="shared" si="0"/>
        <v>10-20%</v>
      </c>
    </row>
    <row r="100">
      <c r="A100" s="10">
        <v>45266</v>
      </c>
      <c r="B100" s="9" t="s">
        <v>174</v>
      </c>
      <c r="C100" s="9" t="s">
        <v>14</v>
      </c>
      <c r="D100" s="9" t="s">
        <v>8</v>
      </c>
      <c r="E100" s="9" t="s">
        <v>21</v>
      </c>
      <c r="F100" s="9" t="s">
        <v>88</v>
      </c>
      <c r="G100" s="9">
        <v>190.65000000000001</v>
      </c>
      <c r="H100" s="9">
        <v>2</v>
      </c>
      <c r="I100" s="9">
        <v>381.30000000000001</v>
      </c>
      <c r="J100" s="9">
        <v>0.19</v>
      </c>
      <c r="K100" s="9">
        <v>19.449999999999999</v>
      </c>
      <c r="L100" s="9" t="s">
        <v>63</v>
      </c>
      <c r="M100" s="9" t="str">
        <f t="shared" si="0"/>
        <v>10-20%</v>
      </c>
    </row>
    <row r="101">
      <c r="A101" s="10">
        <v>45042</v>
      </c>
      <c r="B101" s="9" t="s">
        <v>175</v>
      </c>
      <c r="C101" s="9" t="s">
        <v>14</v>
      </c>
      <c r="D101" s="9" t="s">
        <v>10</v>
      </c>
      <c r="E101" s="9" t="s">
        <v>20</v>
      </c>
      <c r="F101" s="9" t="s">
        <v>69</v>
      </c>
      <c r="G101" s="9">
        <v>404.16000000000003</v>
      </c>
      <c r="H101" s="9">
        <v>7</v>
      </c>
      <c r="I101" s="9">
        <v>2829.1199999999999</v>
      </c>
      <c r="J101" s="9">
        <v>0.11</v>
      </c>
      <c r="K101" s="9">
        <v>-33.340000000000003</v>
      </c>
      <c r="L101" s="9" t="s">
        <v>58</v>
      </c>
      <c r="M101" s="9" t="str">
        <f t="shared" si="0"/>
        <v>10-20%</v>
      </c>
    </row>
    <row r="102">
      <c r="A102" s="10">
        <v>45059</v>
      </c>
      <c r="B102" s="9" t="s">
        <v>176</v>
      </c>
      <c r="C102" s="9" t="s">
        <v>15</v>
      </c>
      <c r="D102" s="9" t="s">
        <v>8</v>
      </c>
      <c r="E102" s="9" t="s">
        <v>20</v>
      </c>
      <c r="F102" s="9" t="s">
        <v>69</v>
      </c>
      <c r="G102" s="9">
        <v>350.60000000000002</v>
      </c>
      <c r="H102" s="9">
        <v>10</v>
      </c>
      <c r="I102" s="9">
        <v>3506</v>
      </c>
      <c r="J102" s="9">
        <v>0.059999999999999998</v>
      </c>
      <c r="K102" s="9">
        <v>265.94</v>
      </c>
      <c r="L102" s="9" t="s">
        <v>72</v>
      </c>
      <c r="M102" s="9" t="str">
        <f t="shared" si="0"/>
        <v>10-20%</v>
      </c>
    </row>
    <row r="103">
      <c r="A103" s="10">
        <v>45083</v>
      </c>
      <c r="B103" s="9" t="s">
        <v>177</v>
      </c>
      <c r="C103" s="9" t="s">
        <v>16</v>
      </c>
      <c r="D103" s="9" t="s">
        <v>9</v>
      </c>
      <c r="E103" s="9" t="s">
        <v>19</v>
      </c>
      <c r="F103" s="9" t="s">
        <v>60</v>
      </c>
      <c r="G103" s="9">
        <v>137.24000000000001</v>
      </c>
      <c r="H103" s="9">
        <v>14</v>
      </c>
      <c r="I103" s="9">
        <v>1921.3599999999999</v>
      </c>
      <c r="J103" s="9">
        <v>0.12</v>
      </c>
      <c r="K103" s="9">
        <v>24.719999999999999</v>
      </c>
      <c r="L103" s="9" t="s">
        <v>72</v>
      </c>
      <c r="M103" s="9" t="str">
        <f t="shared" si="0"/>
        <v>0-10%</v>
      </c>
    </row>
    <row r="104">
      <c r="A104" s="10">
        <v>44993</v>
      </c>
      <c r="B104" s="9" t="s">
        <v>178</v>
      </c>
      <c r="C104" s="9" t="s">
        <v>16</v>
      </c>
      <c r="D104" s="9" t="s">
        <v>11</v>
      </c>
      <c r="E104" s="9" t="s">
        <v>19</v>
      </c>
      <c r="F104" s="9" t="s">
        <v>67</v>
      </c>
      <c r="G104" s="9">
        <v>404.69</v>
      </c>
      <c r="H104" s="9">
        <v>5</v>
      </c>
      <c r="I104" s="9">
        <v>2023.45</v>
      </c>
      <c r="J104" s="9">
        <v>0.20000000000000001</v>
      </c>
      <c r="K104" s="9">
        <v>-127.67</v>
      </c>
      <c r="L104" s="9" t="s">
        <v>63</v>
      </c>
      <c r="M104" s="9" t="str">
        <f t="shared" si="0"/>
        <v>10-20%</v>
      </c>
    </row>
    <row r="105">
      <c r="A105" s="10">
        <v>45199</v>
      </c>
      <c r="B105" s="9" t="s">
        <v>179</v>
      </c>
      <c r="C105" s="9" t="s">
        <v>17</v>
      </c>
      <c r="D105" s="9" t="s">
        <v>12</v>
      </c>
      <c r="E105" s="9" t="s">
        <v>20</v>
      </c>
      <c r="F105" s="9" t="s">
        <v>69</v>
      </c>
      <c r="G105" s="9">
        <v>147.66</v>
      </c>
      <c r="H105" s="9">
        <v>13</v>
      </c>
      <c r="I105" s="9">
        <v>1919.5799999999999</v>
      </c>
      <c r="J105" s="9">
        <v>0.23000000000000001</v>
      </c>
      <c r="K105" s="9">
        <v>22.41</v>
      </c>
      <c r="L105" s="9" t="s">
        <v>72</v>
      </c>
      <c r="M105" s="9" t="str">
        <f t="shared" si="0"/>
        <v>10-20%</v>
      </c>
    </row>
    <row r="106">
      <c r="A106" s="10">
        <v>45191</v>
      </c>
      <c r="B106" s="9" t="s">
        <v>180</v>
      </c>
      <c r="C106" s="9" t="s">
        <v>17</v>
      </c>
      <c r="D106" s="9" t="s">
        <v>11</v>
      </c>
      <c r="E106" s="9" t="s">
        <v>19</v>
      </c>
      <c r="F106" s="9" t="s">
        <v>62</v>
      </c>
      <c r="G106" s="9">
        <v>177.38999999999999</v>
      </c>
      <c r="H106" s="9">
        <v>1</v>
      </c>
      <c r="I106" s="9">
        <v>177.38999999999999</v>
      </c>
      <c r="J106" s="9">
        <v>0</v>
      </c>
      <c r="K106" s="9">
        <v>27.350000000000001</v>
      </c>
      <c r="L106" s="9" t="s">
        <v>58</v>
      </c>
      <c r="M106" s="9" t="str">
        <f t="shared" si="0"/>
        <v>20%+</v>
      </c>
    </row>
    <row r="107">
      <c r="A107" s="10">
        <v>45179</v>
      </c>
      <c r="B107" s="9" t="s">
        <v>181</v>
      </c>
      <c r="C107" s="9" t="s">
        <v>17</v>
      </c>
      <c r="D107" s="9" t="s">
        <v>9</v>
      </c>
      <c r="E107" s="9" t="s">
        <v>22</v>
      </c>
      <c r="F107" s="9" t="s">
        <v>125</v>
      </c>
      <c r="G107" s="9">
        <v>202.94</v>
      </c>
      <c r="H107" s="9">
        <v>4</v>
      </c>
      <c r="I107" s="9">
        <v>811.75999999999999</v>
      </c>
      <c r="J107" s="9">
        <v>0.25</v>
      </c>
      <c r="K107" s="9">
        <v>-48.07</v>
      </c>
      <c r="L107" s="9" t="s">
        <v>58</v>
      </c>
      <c r="M107" s="9" t="str">
        <f t="shared" si="0"/>
        <v>0-10%</v>
      </c>
    </row>
    <row r="108">
      <c r="A108" s="10">
        <v>45265</v>
      </c>
      <c r="B108" s="9" t="s">
        <v>182</v>
      </c>
      <c r="C108" s="9" t="s">
        <v>15</v>
      </c>
      <c r="D108" s="9" t="s">
        <v>12</v>
      </c>
      <c r="E108" s="9" t="s">
        <v>22</v>
      </c>
      <c r="F108" s="9" t="s">
        <v>54</v>
      </c>
      <c r="G108" s="9">
        <v>120.66</v>
      </c>
      <c r="H108" s="9">
        <v>5</v>
      </c>
      <c r="I108" s="9">
        <v>603.29999999999995</v>
      </c>
      <c r="J108" s="9">
        <v>0.040000000000000001</v>
      </c>
      <c r="K108" s="9">
        <v>48.380000000000003</v>
      </c>
      <c r="L108" s="9" t="s">
        <v>55</v>
      </c>
      <c r="M108" s="9" t="str">
        <f t="shared" si="0"/>
        <v>20%+</v>
      </c>
    </row>
    <row r="109">
      <c r="A109" s="10">
        <v>45252</v>
      </c>
      <c r="B109" s="9" t="s">
        <v>183</v>
      </c>
      <c r="C109" s="9" t="s">
        <v>15</v>
      </c>
      <c r="D109" s="9" t="s">
        <v>9</v>
      </c>
      <c r="E109" s="9" t="s">
        <v>20</v>
      </c>
      <c r="F109" s="9" t="s">
        <v>80</v>
      </c>
      <c r="G109" s="9">
        <v>289.24000000000001</v>
      </c>
      <c r="H109" s="9">
        <v>15</v>
      </c>
      <c r="I109" s="9">
        <v>4338.6000000000004</v>
      </c>
      <c r="J109" s="9">
        <v>0.26000000000000001</v>
      </c>
      <c r="K109" s="9">
        <v>-212.74000000000001</v>
      </c>
      <c r="L109" s="9" t="s">
        <v>55</v>
      </c>
      <c r="M109" s="9" t="str">
        <f t="shared" si="0"/>
        <v>0-10%</v>
      </c>
    </row>
    <row r="110">
      <c r="A110" s="10">
        <v>45049</v>
      </c>
      <c r="B110" s="9" t="s">
        <v>184</v>
      </c>
      <c r="C110" s="9" t="s">
        <v>16</v>
      </c>
      <c r="D110" s="9" t="s">
        <v>9</v>
      </c>
      <c r="E110" s="9" t="s">
        <v>20</v>
      </c>
      <c r="F110" s="9" t="s">
        <v>80</v>
      </c>
      <c r="G110" s="9">
        <v>279.75999999999999</v>
      </c>
      <c r="H110" s="9">
        <v>9</v>
      </c>
      <c r="I110" s="9">
        <v>2517.8400000000001</v>
      </c>
      <c r="J110" s="9">
        <v>0.050000000000000003</v>
      </c>
      <c r="K110" s="9">
        <v>88.920000000000002</v>
      </c>
      <c r="L110" s="9" t="s">
        <v>72</v>
      </c>
      <c r="M110" s="9" t="str">
        <f t="shared" si="0"/>
        <v>20%+</v>
      </c>
    </row>
    <row r="111">
      <c r="A111" s="10">
        <v>45181</v>
      </c>
      <c r="B111" s="9" t="s">
        <v>185</v>
      </c>
      <c r="C111" s="9" t="s">
        <v>15</v>
      </c>
      <c r="D111" s="9" t="s">
        <v>9</v>
      </c>
      <c r="E111" s="9" t="s">
        <v>21</v>
      </c>
      <c r="F111" s="9" t="s">
        <v>96</v>
      </c>
      <c r="G111" s="9">
        <v>47.619999999999997</v>
      </c>
      <c r="H111" s="9">
        <v>14</v>
      </c>
      <c r="I111" s="9">
        <v>666.67999999999995</v>
      </c>
      <c r="J111" s="9">
        <v>0.02</v>
      </c>
      <c r="K111" s="9">
        <v>48.539999999999999</v>
      </c>
      <c r="L111" s="9" t="s">
        <v>58</v>
      </c>
      <c r="M111" s="9" t="str">
        <f t="shared" si="0"/>
        <v>0-10%</v>
      </c>
    </row>
    <row r="112">
      <c r="A112" s="10">
        <v>45198</v>
      </c>
      <c r="B112" s="9" t="s">
        <v>186</v>
      </c>
      <c r="C112" s="9" t="s">
        <v>17</v>
      </c>
      <c r="D112" s="9" t="s">
        <v>11</v>
      </c>
      <c r="E112" s="9" t="s">
        <v>19</v>
      </c>
      <c r="F112" s="9" t="s">
        <v>57</v>
      </c>
      <c r="G112" s="9">
        <v>67.879999999999995</v>
      </c>
      <c r="H112" s="9">
        <v>13</v>
      </c>
      <c r="I112" s="9">
        <v>882.44000000000005</v>
      </c>
      <c r="J112" s="9">
        <v>0</v>
      </c>
      <c r="K112" s="9">
        <v>133.81999999999999</v>
      </c>
      <c r="L112" s="9" t="s">
        <v>72</v>
      </c>
      <c r="M112" s="9" t="str">
        <f t="shared" si="0"/>
        <v>0-10%</v>
      </c>
    </row>
    <row r="113">
      <c r="A113" s="10">
        <v>45090</v>
      </c>
      <c r="B113" s="9" t="s">
        <v>187</v>
      </c>
      <c r="C113" s="9" t="s">
        <v>17</v>
      </c>
      <c r="D113" s="9" t="s">
        <v>9</v>
      </c>
      <c r="E113" s="9" t="s">
        <v>20</v>
      </c>
      <c r="F113" s="9" t="s">
        <v>80</v>
      </c>
      <c r="G113" s="9">
        <v>411.81</v>
      </c>
      <c r="H113" s="9">
        <v>8</v>
      </c>
      <c r="I113" s="9">
        <v>3294.48</v>
      </c>
      <c r="J113" s="9">
        <v>0.14999999999999999</v>
      </c>
      <c r="K113" s="9">
        <v>-152.11000000000001</v>
      </c>
      <c r="L113" s="9" t="s">
        <v>72</v>
      </c>
      <c r="M113" s="9" t="str">
        <f t="shared" si="0"/>
        <v>0-10%</v>
      </c>
    </row>
    <row r="114">
      <c r="A114" s="10">
        <v>45004</v>
      </c>
      <c r="B114" s="9" t="s">
        <v>188</v>
      </c>
      <c r="C114" s="9" t="s">
        <v>15</v>
      </c>
      <c r="D114" s="9" t="s">
        <v>8</v>
      </c>
      <c r="E114" s="9" t="s">
        <v>21</v>
      </c>
      <c r="F114" s="9" t="s">
        <v>82</v>
      </c>
      <c r="G114" s="9">
        <v>98.790000000000006</v>
      </c>
      <c r="H114" s="9">
        <v>9</v>
      </c>
      <c r="I114" s="9">
        <v>889.11000000000001</v>
      </c>
      <c r="J114" s="9">
        <v>0.029999999999999999</v>
      </c>
      <c r="K114" s="9">
        <v>58.049999999999997</v>
      </c>
      <c r="L114" s="9" t="s">
        <v>58</v>
      </c>
      <c r="M114" s="9" t="str">
        <f t="shared" si="0"/>
        <v>10-20%</v>
      </c>
    </row>
    <row r="115">
      <c r="A115" s="10">
        <v>44927</v>
      </c>
      <c r="B115" s="9" t="s">
        <v>189</v>
      </c>
      <c r="C115" s="9" t="s">
        <v>14</v>
      </c>
      <c r="D115" s="9" t="s">
        <v>9</v>
      </c>
      <c r="E115" s="9" t="s">
        <v>19</v>
      </c>
      <c r="F115" s="9" t="s">
        <v>62</v>
      </c>
      <c r="G115" s="9">
        <v>272.60000000000002</v>
      </c>
      <c r="H115" s="9">
        <v>7</v>
      </c>
      <c r="I115" s="9">
        <v>1908.2</v>
      </c>
      <c r="J115" s="9">
        <v>0.16</v>
      </c>
      <c r="K115" s="9">
        <v>38.020000000000003</v>
      </c>
      <c r="L115" s="9" t="s">
        <v>72</v>
      </c>
      <c r="M115" s="9" t="str">
        <f t="shared" si="0"/>
        <v>0-10%</v>
      </c>
    </row>
    <row r="116">
      <c r="A116" s="10">
        <v>45006</v>
      </c>
      <c r="B116" s="9" t="s">
        <v>190</v>
      </c>
      <c r="C116" s="9" t="s">
        <v>14</v>
      </c>
      <c r="D116" s="9" t="s">
        <v>10</v>
      </c>
      <c r="E116" s="9" t="s">
        <v>21</v>
      </c>
      <c r="F116" s="9" t="s">
        <v>76</v>
      </c>
      <c r="G116" s="9">
        <v>252.44999999999999</v>
      </c>
      <c r="H116" s="9">
        <v>8</v>
      </c>
      <c r="I116" s="9">
        <v>2019.5999999999999</v>
      </c>
      <c r="J116" s="9">
        <v>0.080000000000000002</v>
      </c>
      <c r="K116" s="9">
        <v>121.98999999999999</v>
      </c>
      <c r="L116" s="9" t="s">
        <v>72</v>
      </c>
      <c r="M116" s="9" t="str">
        <f t="shared" si="0"/>
        <v>10-20%</v>
      </c>
    </row>
    <row r="117">
      <c r="A117" s="10">
        <v>44975</v>
      </c>
      <c r="B117" s="9" t="s">
        <v>191</v>
      </c>
      <c r="C117" s="9" t="s">
        <v>15</v>
      </c>
      <c r="D117" s="9" t="s">
        <v>10</v>
      </c>
      <c r="E117" s="9" t="s">
        <v>22</v>
      </c>
      <c r="F117" s="9" t="s">
        <v>71</v>
      </c>
      <c r="G117" s="9">
        <v>67.359999999999999</v>
      </c>
      <c r="H117" s="9">
        <v>2</v>
      </c>
      <c r="I117" s="9">
        <v>134.72</v>
      </c>
      <c r="J117" s="9">
        <v>0</v>
      </c>
      <c r="K117" s="9">
        <v>18.719999999999999</v>
      </c>
      <c r="L117" s="9" t="s">
        <v>72</v>
      </c>
      <c r="M117" s="9" t="str">
        <f t="shared" si="0"/>
        <v>0-10%</v>
      </c>
    </row>
    <row r="118">
      <c r="A118" s="10">
        <v>45068</v>
      </c>
      <c r="B118" s="9" t="s">
        <v>192</v>
      </c>
      <c r="C118" s="9" t="s">
        <v>15</v>
      </c>
      <c r="D118" s="9" t="s">
        <v>11</v>
      </c>
      <c r="E118" s="9" t="s">
        <v>19</v>
      </c>
      <c r="F118" s="9" t="s">
        <v>60</v>
      </c>
      <c r="G118" s="9">
        <v>196.34</v>
      </c>
      <c r="H118" s="9">
        <v>4</v>
      </c>
      <c r="I118" s="9">
        <v>785.36000000000001</v>
      </c>
      <c r="J118" s="9">
        <v>0.22</v>
      </c>
      <c r="K118" s="9">
        <v>-32.340000000000003</v>
      </c>
      <c r="L118" s="9" t="s">
        <v>55</v>
      </c>
      <c r="M118" s="9" t="str">
        <f t="shared" si="0"/>
        <v>0-10%</v>
      </c>
    </row>
    <row r="119">
      <c r="A119" s="10">
        <v>45219</v>
      </c>
      <c r="B119" s="9" t="s">
        <v>193</v>
      </c>
      <c r="C119" s="9" t="s">
        <v>15</v>
      </c>
      <c r="D119" s="9" t="s">
        <v>8</v>
      </c>
      <c r="E119" s="9" t="s">
        <v>19</v>
      </c>
      <c r="F119" s="9" t="s">
        <v>67</v>
      </c>
      <c r="G119" s="9">
        <v>353.42000000000002</v>
      </c>
      <c r="H119" s="9">
        <v>3</v>
      </c>
      <c r="I119" s="9">
        <v>1060.26</v>
      </c>
      <c r="J119" s="9">
        <v>0.27000000000000002</v>
      </c>
      <c r="K119" s="9">
        <v>-69.459999999999994</v>
      </c>
      <c r="L119" s="9" t="s">
        <v>72</v>
      </c>
      <c r="M119" s="9" t="str">
        <f t="shared" si="0"/>
        <v>20%+</v>
      </c>
    </row>
    <row r="120">
      <c r="A120" s="10">
        <v>44994</v>
      </c>
      <c r="B120" s="9" t="s">
        <v>194</v>
      </c>
      <c r="C120" s="9" t="s">
        <v>16</v>
      </c>
      <c r="D120" s="9" t="s">
        <v>11</v>
      </c>
      <c r="E120" s="9" t="s">
        <v>21</v>
      </c>
      <c r="F120" s="9" t="s">
        <v>78</v>
      </c>
      <c r="G120" s="9">
        <v>55.530000000000001</v>
      </c>
      <c r="H120" s="9">
        <v>10</v>
      </c>
      <c r="I120" s="9">
        <v>555.29999999999995</v>
      </c>
      <c r="J120" s="9">
        <v>0.20000000000000001</v>
      </c>
      <c r="K120" s="9">
        <v>24.280000000000001</v>
      </c>
      <c r="L120" s="9" t="s">
        <v>55</v>
      </c>
      <c r="M120" s="9" t="str">
        <f t="shared" si="0"/>
        <v>20%+</v>
      </c>
    </row>
    <row r="121">
      <c r="A121" s="10">
        <v>45204</v>
      </c>
      <c r="B121" s="9" t="s">
        <v>195</v>
      </c>
      <c r="C121" s="9" t="s">
        <v>14</v>
      </c>
      <c r="D121" s="9" t="s">
        <v>8</v>
      </c>
      <c r="E121" s="9" t="s">
        <v>19</v>
      </c>
      <c r="F121" s="9" t="s">
        <v>67</v>
      </c>
      <c r="G121" s="9">
        <v>371.79000000000002</v>
      </c>
      <c r="H121" s="9">
        <v>4</v>
      </c>
      <c r="I121" s="9">
        <v>1487.1600000000001</v>
      </c>
      <c r="J121" s="9">
        <v>0.27000000000000002</v>
      </c>
      <c r="K121" s="9">
        <v>-100.87</v>
      </c>
      <c r="L121" s="9" t="s">
        <v>72</v>
      </c>
      <c r="M121" s="9" t="str">
        <f t="shared" si="0"/>
        <v>10-20%</v>
      </c>
    </row>
    <row r="122">
      <c r="A122" s="10">
        <v>45158</v>
      </c>
      <c r="B122" s="9" t="s">
        <v>196</v>
      </c>
      <c r="C122" s="9" t="s">
        <v>14</v>
      </c>
      <c r="D122" s="9" t="s">
        <v>12</v>
      </c>
      <c r="E122" s="9" t="s">
        <v>19</v>
      </c>
      <c r="F122" s="9" t="s">
        <v>60</v>
      </c>
      <c r="G122" s="9">
        <v>385.99000000000001</v>
      </c>
      <c r="H122" s="9">
        <v>12</v>
      </c>
      <c r="I122" s="9">
        <v>4631.8800000000001</v>
      </c>
      <c r="J122" s="9">
        <v>0.17999999999999999</v>
      </c>
      <c r="K122" s="9">
        <v>61.520000000000003</v>
      </c>
      <c r="L122" s="9" t="s">
        <v>55</v>
      </c>
      <c r="M122" s="9" t="str">
        <f t="shared" si="0"/>
        <v>20%+</v>
      </c>
    </row>
    <row r="123">
      <c r="A123" s="10">
        <v>45062</v>
      </c>
      <c r="B123" s="9" t="s">
        <v>197</v>
      </c>
      <c r="C123" s="9" t="s">
        <v>15</v>
      </c>
      <c r="D123" s="9" t="s">
        <v>10</v>
      </c>
      <c r="E123" s="9" t="s">
        <v>22</v>
      </c>
      <c r="F123" s="9" t="s">
        <v>71</v>
      </c>
      <c r="G123" s="9">
        <v>204.22</v>
      </c>
      <c r="H123" s="9">
        <v>2</v>
      </c>
      <c r="I123" s="9">
        <v>408.44</v>
      </c>
      <c r="J123" s="9">
        <v>0.13</v>
      </c>
      <c r="K123" s="9">
        <v>-3.96</v>
      </c>
      <c r="L123" s="9" t="s">
        <v>58</v>
      </c>
      <c r="M123" s="9" t="str">
        <f t="shared" si="0"/>
        <v>10-20%</v>
      </c>
    </row>
    <row r="124">
      <c r="A124" s="10">
        <v>45245</v>
      </c>
      <c r="B124" s="9" t="s">
        <v>198</v>
      </c>
      <c r="C124" s="9" t="s">
        <v>15</v>
      </c>
      <c r="D124" s="9" t="s">
        <v>8</v>
      </c>
      <c r="E124" s="9" t="s">
        <v>22</v>
      </c>
      <c r="F124" s="9" t="s">
        <v>84</v>
      </c>
      <c r="G124" s="9">
        <v>199.25999999999999</v>
      </c>
      <c r="H124" s="9">
        <v>5</v>
      </c>
      <c r="I124" s="9">
        <v>996.29999999999995</v>
      </c>
      <c r="J124" s="9">
        <v>0.20000000000000001</v>
      </c>
      <c r="K124" s="9">
        <v>-55.5</v>
      </c>
      <c r="L124" s="9" t="s">
        <v>72</v>
      </c>
      <c r="M124" s="9" t="str">
        <f t="shared" si="0"/>
        <v>10-20%</v>
      </c>
    </row>
    <row r="125">
      <c r="A125" s="10">
        <v>45061</v>
      </c>
      <c r="B125" s="9" t="s">
        <v>199</v>
      </c>
      <c r="C125" s="9" t="s">
        <v>17</v>
      </c>
      <c r="D125" s="9" t="s">
        <v>11</v>
      </c>
      <c r="E125" s="9" t="s">
        <v>22</v>
      </c>
      <c r="F125" s="9" t="s">
        <v>110</v>
      </c>
      <c r="G125" s="9">
        <v>273.87</v>
      </c>
      <c r="H125" s="9">
        <v>10</v>
      </c>
      <c r="I125" s="9">
        <v>2738.6999999999998</v>
      </c>
      <c r="J125" s="9">
        <v>0</v>
      </c>
      <c r="K125" s="9">
        <v>215.5</v>
      </c>
      <c r="L125" s="9" t="s">
        <v>72</v>
      </c>
      <c r="M125" s="9" t="str">
        <f t="shared" si="0"/>
        <v>10-20%</v>
      </c>
    </row>
    <row r="126">
      <c r="A126" s="10">
        <v>45192</v>
      </c>
      <c r="B126" s="9" t="s">
        <v>200</v>
      </c>
      <c r="C126" s="9" t="s">
        <v>14</v>
      </c>
      <c r="D126" s="9" t="s">
        <v>10</v>
      </c>
      <c r="E126" s="9" t="s">
        <v>22</v>
      </c>
      <c r="F126" s="9" t="s">
        <v>125</v>
      </c>
      <c r="G126" s="9">
        <v>80.920000000000002</v>
      </c>
      <c r="H126" s="9">
        <v>6</v>
      </c>
      <c r="I126" s="9">
        <v>485.51999999999998</v>
      </c>
      <c r="J126" s="9">
        <v>0.17000000000000001</v>
      </c>
      <c r="K126" s="9">
        <v>32.159999999999997</v>
      </c>
      <c r="L126" s="9" t="s">
        <v>55</v>
      </c>
      <c r="M126" s="9" t="str">
        <f t="shared" si="0"/>
        <v>0-10%</v>
      </c>
    </row>
    <row r="127">
      <c r="A127" s="10">
        <v>45034</v>
      </c>
      <c r="B127" s="9" t="s">
        <v>201</v>
      </c>
      <c r="C127" s="9" t="s">
        <v>16</v>
      </c>
      <c r="D127" s="9" t="s">
        <v>12</v>
      </c>
      <c r="E127" s="9" t="s">
        <v>21</v>
      </c>
      <c r="F127" s="9" t="s">
        <v>88</v>
      </c>
      <c r="G127" s="9">
        <v>294.56</v>
      </c>
      <c r="H127" s="9">
        <v>5</v>
      </c>
      <c r="I127" s="9">
        <v>1472.8</v>
      </c>
      <c r="J127" s="9">
        <v>0.23000000000000001</v>
      </c>
      <c r="K127" s="9">
        <v>-92.680000000000007</v>
      </c>
      <c r="L127" s="9" t="s">
        <v>58</v>
      </c>
      <c r="M127" s="9" t="str">
        <f t="shared" si="0"/>
        <v>10-20%</v>
      </c>
    </row>
    <row r="128">
      <c r="A128" s="10">
        <v>45234</v>
      </c>
      <c r="B128" s="9" t="s">
        <v>202</v>
      </c>
      <c r="C128" s="9" t="s">
        <v>14</v>
      </c>
      <c r="D128" s="9" t="s">
        <v>11</v>
      </c>
      <c r="E128" s="9" t="s">
        <v>21</v>
      </c>
      <c r="F128" s="9" t="s">
        <v>78</v>
      </c>
      <c r="G128" s="9">
        <v>46.619999999999997</v>
      </c>
      <c r="H128" s="9">
        <v>3</v>
      </c>
      <c r="I128" s="9">
        <v>139.86000000000001</v>
      </c>
      <c r="J128" s="9">
        <v>0</v>
      </c>
      <c r="K128" s="9">
        <v>26.129999999999999</v>
      </c>
      <c r="L128" s="9" t="s">
        <v>63</v>
      </c>
      <c r="M128" s="9" t="str">
        <f t="shared" si="0"/>
        <v>20%+</v>
      </c>
    </row>
    <row r="129">
      <c r="A129" s="10">
        <v>44941</v>
      </c>
      <c r="B129" s="9" t="s">
        <v>203</v>
      </c>
      <c r="C129" s="9" t="s">
        <v>15</v>
      </c>
      <c r="D129" s="9" t="s">
        <v>11</v>
      </c>
      <c r="E129" s="9" t="s">
        <v>22</v>
      </c>
      <c r="F129" s="9" t="s">
        <v>110</v>
      </c>
      <c r="G129" s="9">
        <v>444.66000000000003</v>
      </c>
      <c r="H129" s="9">
        <v>13</v>
      </c>
      <c r="I129" s="9">
        <v>5780.5799999999999</v>
      </c>
      <c r="J129" s="9">
        <v>0.17999999999999999</v>
      </c>
      <c r="K129" s="9">
        <v>-731.46000000000004</v>
      </c>
      <c r="L129" s="9" t="s">
        <v>58</v>
      </c>
      <c r="M129" s="9" t="str">
        <f t="shared" si="0"/>
        <v>0-10%</v>
      </c>
    </row>
    <row r="130">
      <c r="A130" s="10">
        <v>45253</v>
      </c>
      <c r="B130" s="9" t="s">
        <v>204</v>
      </c>
      <c r="C130" s="9" t="s">
        <v>14</v>
      </c>
      <c r="D130" s="9" t="s">
        <v>9</v>
      </c>
      <c r="E130" s="9" t="s">
        <v>22</v>
      </c>
      <c r="F130" s="9" t="s">
        <v>110</v>
      </c>
      <c r="G130" s="9">
        <v>178</v>
      </c>
      <c r="H130" s="9">
        <v>6</v>
      </c>
      <c r="I130" s="9">
        <v>1068</v>
      </c>
      <c r="J130" s="9">
        <v>0.28000000000000003</v>
      </c>
      <c r="K130" s="9">
        <v>-227.63999999999999</v>
      </c>
      <c r="L130" s="9" t="s">
        <v>55</v>
      </c>
      <c r="M130" s="9" t="str">
        <f t="shared" si="0"/>
        <v>10-20%</v>
      </c>
    </row>
    <row r="131">
      <c r="A131" s="10">
        <v>45101</v>
      </c>
      <c r="B131" s="9" t="s">
        <v>205</v>
      </c>
      <c r="C131" s="9" t="s">
        <v>16</v>
      </c>
      <c r="D131" s="9" t="s">
        <v>12</v>
      </c>
      <c r="E131" s="9" t="s">
        <v>19</v>
      </c>
      <c r="F131" s="9" t="s">
        <v>98</v>
      </c>
      <c r="G131" s="9">
        <v>408.75999999999999</v>
      </c>
      <c r="H131" s="9">
        <v>5</v>
      </c>
      <c r="I131" s="9">
        <v>2043.8</v>
      </c>
      <c r="J131" s="9">
        <v>0.13</v>
      </c>
      <c r="K131" s="9">
        <v>141.56999999999999</v>
      </c>
      <c r="L131" s="9" t="s">
        <v>63</v>
      </c>
      <c r="M131" s="9" t="str">
        <f t="shared" si="0"/>
        <v>20%+</v>
      </c>
    </row>
    <row r="132">
      <c r="A132" s="10">
        <v>45039</v>
      </c>
      <c r="B132" s="9" t="s">
        <v>206</v>
      </c>
      <c r="C132" s="9" t="s">
        <v>17</v>
      </c>
      <c r="D132" s="9" t="s">
        <v>8</v>
      </c>
      <c r="E132" s="9" t="s">
        <v>22</v>
      </c>
      <c r="F132" s="9" t="s">
        <v>125</v>
      </c>
      <c r="G132" s="9">
        <v>81.5</v>
      </c>
      <c r="H132" s="9">
        <v>9</v>
      </c>
      <c r="I132" s="9">
        <v>733.5</v>
      </c>
      <c r="J132" s="9">
        <v>0.17000000000000001</v>
      </c>
      <c r="K132" s="9">
        <v>30.48</v>
      </c>
      <c r="L132" s="9" t="s">
        <v>58</v>
      </c>
      <c r="M132" s="9" t="str">
        <f t="shared" si="0"/>
        <v>10-20%</v>
      </c>
    </row>
    <row r="133">
      <c r="A133" s="10">
        <v>45206</v>
      </c>
      <c r="B133" s="9" t="s">
        <v>207</v>
      </c>
      <c r="C133" s="9" t="s">
        <v>16</v>
      </c>
      <c r="D133" s="9" t="s">
        <v>10</v>
      </c>
      <c r="E133" s="9" t="s">
        <v>22</v>
      </c>
      <c r="F133" s="9" t="s">
        <v>110</v>
      </c>
      <c r="G133" s="9">
        <v>22.539999999999999</v>
      </c>
      <c r="H133" s="9">
        <v>4</v>
      </c>
      <c r="I133" s="9">
        <v>90.159999999999997</v>
      </c>
      <c r="J133" s="9">
        <v>0</v>
      </c>
      <c r="K133" s="9">
        <v>7.7300000000000004</v>
      </c>
      <c r="L133" s="9" t="s">
        <v>72</v>
      </c>
      <c r="M133" s="9" t="str">
        <f t="shared" si="0"/>
        <v>10-20%</v>
      </c>
    </row>
    <row r="134">
      <c r="A134" s="10">
        <v>45236</v>
      </c>
      <c r="B134" s="9" t="s">
        <v>208</v>
      </c>
      <c r="C134" s="9" t="s">
        <v>16</v>
      </c>
      <c r="D134" s="9" t="s">
        <v>9</v>
      </c>
      <c r="E134" s="9" t="s">
        <v>21</v>
      </c>
      <c r="F134" s="9" t="s">
        <v>82</v>
      </c>
      <c r="G134" s="9">
        <v>268.33999999999997</v>
      </c>
      <c r="H134" s="9">
        <v>2</v>
      </c>
      <c r="I134" s="9">
        <v>536.67999999999995</v>
      </c>
      <c r="J134" s="9">
        <v>0.14000000000000001</v>
      </c>
      <c r="K134" s="9">
        <v>39.520000000000003</v>
      </c>
      <c r="L134" s="9" t="s">
        <v>55</v>
      </c>
      <c r="M134" s="9" t="str">
        <f t="shared" si="0"/>
        <v>0-10%</v>
      </c>
    </row>
    <row r="135">
      <c r="A135" s="10">
        <v>44981</v>
      </c>
      <c r="B135" s="9" t="s">
        <v>209</v>
      </c>
      <c r="C135" s="9" t="s">
        <v>16</v>
      </c>
      <c r="D135" s="9" t="s">
        <v>11</v>
      </c>
      <c r="E135" s="9" t="s">
        <v>19</v>
      </c>
      <c r="F135" s="9" t="s">
        <v>60</v>
      </c>
      <c r="G135" s="9">
        <v>462.77999999999997</v>
      </c>
      <c r="H135" s="9">
        <v>10</v>
      </c>
      <c r="I135" s="9">
        <v>4627.8000000000002</v>
      </c>
      <c r="J135" s="9">
        <v>0.23000000000000001</v>
      </c>
      <c r="K135" s="9">
        <v>-681.61000000000001</v>
      </c>
      <c r="L135" s="9" t="s">
        <v>58</v>
      </c>
      <c r="M135" s="9" t="str">
        <f t="shared" si="0"/>
        <v>10-20%</v>
      </c>
    </row>
    <row r="136">
      <c r="A136" s="10">
        <v>45024</v>
      </c>
      <c r="B136" s="9" t="s">
        <v>210</v>
      </c>
      <c r="C136" s="9" t="s">
        <v>16</v>
      </c>
      <c r="D136" s="9" t="s">
        <v>10</v>
      </c>
      <c r="E136" s="9" t="s">
        <v>21</v>
      </c>
      <c r="F136" s="9" t="s">
        <v>82</v>
      </c>
      <c r="G136" s="9">
        <v>37.659999999999997</v>
      </c>
      <c r="H136" s="9">
        <v>10</v>
      </c>
      <c r="I136" s="9">
        <v>376.60000000000002</v>
      </c>
      <c r="J136" s="9">
        <v>0.02</v>
      </c>
      <c r="K136" s="9">
        <v>36.119999999999997</v>
      </c>
      <c r="L136" s="9" t="s">
        <v>55</v>
      </c>
      <c r="M136" s="9" t="str">
        <f t="shared" si="0"/>
        <v>20%+</v>
      </c>
    </row>
    <row r="137">
      <c r="A137" s="10">
        <v>45099</v>
      </c>
      <c r="B137" s="9" t="s">
        <v>211</v>
      </c>
      <c r="C137" s="9" t="s">
        <v>16</v>
      </c>
      <c r="D137" s="9" t="s">
        <v>10</v>
      </c>
      <c r="E137" s="9" t="s">
        <v>21</v>
      </c>
      <c r="F137" s="9" t="s">
        <v>78</v>
      </c>
      <c r="G137" s="9">
        <v>194.97999999999999</v>
      </c>
      <c r="H137" s="9">
        <v>10</v>
      </c>
      <c r="I137" s="9">
        <v>1949.8</v>
      </c>
      <c r="J137" s="9">
        <v>0.19</v>
      </c>
      <c r="K137" s="9">
        <v>-253.13</v>
      </c>
      <c r="L137" s="9" t="s">
        <v>55</v>
      </c>
      <c r="M137" s="9" t="str">
        <f t="shared" si="0"/>
        <v>0-10%</v>
      </c>
    </row>
    <row r="138">
      <c r="A138" s="10">
        <v>45176</v>
      </c>
      <c r="B138" s="9" t="s">
        <v>212</v>
      </c>
      <c r="C138" s="9" t="s">
        <v>17</v>
      </c>
      <c r="D138" s="9" t="s">
        <v>11</v>
      </c>
      <c r="E138" s="9" t="s">
        <v>20</v>
      </c>
      <c r="F138" s="9" t="s">
        <v>101</v>
      </c>
      <c r="G138" s="9">
        <v>146.25999999999999</v>
      </c>
      <c r="H138" s="9">
        <v>15</v>
      </c>
      <c r="I138" s="9">
        <v>2193.9000000000001</v>
      </c>
      <c r="J138" s="9">
        <v>0.19</v>
      </c>
      <c r="K138" s="9">
        <v>11.960000000000001</v>
      </c>
      <c r="L138" s="9" t="s">
        <v>63</v>
      </c>
      <c r="M138" s="9" t="str">
        <f t="shared" si="0"/>
        <v>10-20%</v>
      </c>
    </row>
    <row r="139">
      <c r="A139" s="10">
        <v>45175</v>
      </c>
      <c r="B139" s="9" t="s">
        <v>213</v>
      </c>
      <c r="C139" s="9" t="s">
        <v>14</v>
      </c>
      <c r="D139" s="9" t="s">
        <v>10</v>
      </c>
      <c r="E139" s="9" t="s">
        <v>22</v>
      </c>
      <c r="F139" s="9" t="s">
        <v>125</v>
      </c>
      <c r="G139" s="9">
        <v>265.86000000000001</v>
      </c>
      <c r="H139" s="9">
        <v>11</v>
      </c>
      <c r="I139" s="9">
        <v>2924.46</v>
      </c>
      <c r="J139" s="9">
        <v>0.14000000000000001</v>
      </c>
      <c r="K139" s="9">
        <v>225.72999999999999</v>
      </c>
      <c r="L139" s="9" t="s">
        <v>72</v>
      </c>
      <c r="M139" s="9" t="str">
        <f t="shared" si="0"/>
        <v>10-20%</v>
      </c>
    </row>
    <row r="140">
      <c r="A140" s="10">
        <v>45189</v>
      </c>
      <c r="B140" s="9" t="s">
        <v>214</v>
      </c>
      <c r="C140" s="9" t="s">
        <v>16</v>
      </c>
      <c r="D140" s="9" t="s">
        <v>10</v>
      </c>
      <c r="E140" s="9" t="s">
        <v>19</v>
      </c>
      <c r="F140" s="9" t="s">
        <v>57</v>
      </c>
      <c r="G140" s="9">
        <v>227.78</v>
      </c>
      <c r="H140" s="9">
        <v>5</v>
      </c>
      <c r="I140" s="9">
        <v>1138.9000000000001</v>
      </c>
      <c r="J140" s="9">
        <v>0.17000000000000001</v>
      </c>
      <c r="K140" s="9">
        <v>-63.399999999999999</v>
      </c>
      <c r="L140" s="9" t="s">
        <v>63</v>
      </c>
      <c r="M140" s="9" t="str">
        <f t="shared" si="0"/>
        <v>10-20%</v>
      </c>
    </row>
    <row r="141">
      <c r="A141" s="10">
        <v>44927</v>
      </c>
      <c r="B141" s="9" t="s">
        <v>215</v>
      </c>
      <c r="C141" s="9" t="s">
        <v>17</v>
      </c>
      <c r="D141" s="9" t="s">
        <v>12</v>
      </c>
      <c r="E141" s="9" t="s">
        <v>21</v>
      </c>
      <c r="F141" s="9" t="s">
        <v>76</v>
      </c>
      <c r="G141" s="9">
        <v>42.469999999999999</v>
      </c>
      <c r="H141" s="9">
        <v>1</v>
      </c>
      <c r="I141" s="9">
        <v>42.469999999999999</v>
      </c>
      <c r="J141" s="9">
        <v>0</v>
      </c>
      <c r="K141" s="9">
        <v>4.4800000000000004</v>
      </c>
      <c r="L141" s="9" t="s">
        <v>55</v>
      </c>
      <c r="M141" s="9" t="str">
        <f t="shared" si="0"/>
        <v>10-20%</v>
      </c>
    </row>
    <row r="142">
      <c r="A142" s="10">
        <v>45038</v>
      </c>
      <c r="B142" s="9" t="s">
        <v>216</v>
      </c>
      <c r="C142" s="9" t="s">
        <v>17</v>
      </c>
      <c r="D142" s="9" t="s">
        <v>12</v>
      </c>
      <c r="E142" s="9" t="s">
        <v>20</v>
      </c>
      <c r="F142" s="9" t="s">
        <v>101</v>
      </c>
      <c r="G142" s="9">
        <v>179.06</v>
      </c>
      <c r="H142" s="9">
        <v>7</v>
      </c>
      <c r="I142" s="9">
        <v>1253.4200000000001</v>
      </c>
      <c r="J142" s="9">
        <v>0.02</v>
      </c>
      <c r="K142" s="9">
        <v>102.95999999999999</v>
      </c>
      <c r="L142" s="9" t="s">
        <v>63</v>
      </c>
      <c r="M142" s="9" t="str">
        <f t="shared" si="0"/>
        <v>0-10%</v>
      </c>
    </row>
    <row r="143">
      <c r="A143" s="10">
        <v>45090</v>
      </c>
      <c r="B143" s="9" t="s">
        <v>217</v>
      </c>
      <c r="C143" s="9" t="s">
        <v>17</v>
      </c>
      <c r="D143" s="9" t="s">
        <v>9</v>
      </c>
      <c r="E143" s="9" t="s">
        <v>19</v>
      </c>
      <c r="F143" s="9" t="s">
        <v>98</v>
      </c>
      <c r="G143" s="9">
        <v>455.64999999999998</v>
      </c>
      <c r="H143" s="9">
        <v>13</v>
      </c>
      <c r="I143" s="9">
        <v>5923.4499999999998</v>
      </c>
      <c r="J143" s="9">
        <v>0.29999999999999999</v>
      </c>
      <c r="K143" s="9">
        <v>-794.77999999999997</v>
      </c>
      <c r="L143" s="9" t="s">
        <v>55</v>
      </c>
      <c r="M143" s="9" t="str">
        <f t="shared" si="0"/>
        <v>0-10%</v>
      </c>
    </row>
    <row r="144">
      <c r="A144" s="10">
        <v>44964</v>
      </c>
      <c r="B144" s="9" t="s">
        <v>218</v>
      </c>
      <c r="C144" s="9" t="s">
        <v>17</v>
      </c>
      <c r="D144" s="9" t="s">
        <v>11</v>
      </c>
      <c r="E144" s="9" t="s">
        <v>19</v>
      </c>
      <c r="F144" s="9" t="s">
        <v>98</v>
      </c>
      <c r="G144" s="9">
        <v>188.09</v>
      </c>
      <c r="H144" s="9">
        <v>3</v>
      </c>
      <c r="I144" s="9">
        <v>564.26999999999998</v>
      </c>
      <c r="J144" s="9">
        <v>0.23000000000000001</v>
      </c>
      <c r="K144" s="9">
        <v>-70.099999999999994</v>
      </c>
      <c r="L144" s="9" t="s">
        <v>72</v>
      </c>
      <c r="M144" s="9" t="str">
        <f t="shared" si="0"/>
        <v>20%+</v>
      </c>
    </row>
    <row r="145">
      <c r="A145" s="10">
        <v>45226</v>
      </c>
      <c r="B145" s="9" t="s">
        <v>219</v>
      </c>
      <c r="C145" s="9" t="s">
        <v>16</v>
      </c>
      <c r="D145" s="9" t="s">
        <v>10</v>
      </c>
      <c r="E145" s="9" t="s">
        <v>20</v>
      </c>
      <c r="F145" s="9" t="s">
        <v>101</v>
      </c>
      <c r="G145" s="9">
        <v>66.579999999999998</v>
      </c>
      <c r="H145" s="9">
        <v>2</v>
      </c>
      <c r="I145" s="9">
        <v>133.16</v>
      </c>
      <c r="J145" s="9">
        <v>0</v>
      </c>
      <c r="K145" s="9">
        <v>25.73</v>
      </c>
      <c r="L145" s="9" t="s">
        <v>72</v>
      </c>
      <c r="M145" s="9" t="str">
        <f t="shared" si="0"/>
        <v>20%+</v>
      </c>
    </row>
    <row r="146">
      <c r="A146" s="10">
        <v>44984</v>
      </c>
      <c r="B146" s="9" t="s">
        <v>220</v>
      </c>
      <c r="C146" s="9" t="s">
        <v>15</v>
      </c>
      <c r="D146" s="9" t="s">
        <v>12</v>
      </c>
      <c r="E146" s="9" t="s">
        <v>21</v>
      </c>
      <c r="F146" s="9" t="s">
        <v>88</v>
      </c>
      <c r="G146" s="9">
        <v>231.62</v>
      </c>
      <c r="H146" s="9">
        <v>6</v>
      </c>
      <c r="I146" s="9">
        <v>1389.72</v>
      </c>
      <c r="J146" s="9">
        <v>0.059999999999999998</v>
      </c>
      <c r="K146" s="9">
        <v>167.78999999999999</v>
      </c>
      <c r="L146" s="9" t="s">
        <v>55</v>
      </c>
      <c r="M146" s="9" t="str">
        <f t="shared" si="0"/>
        <v>0-10%</v>
      </c>
    </row>
    <row r="147">
      <c r="A147" s="10">
        <v>45146</v>
      </c>
      <c r="B147" s="9" t="s">
        <v>221</v>
      </c>
      <c r="C147" s="9" t="s">
        <v>17</v>
      </c>
      <c r="D147" s="9" t="s">
        <v>9</v>
      </c>
      <c r="E147" s="9" t="s">
        <v>20</v>
      </c>
      <c r="F147" s="9" t="s">
        <v>74</v>
      </c>
      <c r="G147" s="9">
        <v>80.620000000000005</v>
      </c>
      <c r="H147" s="9">
        <v>8</v>
      </c>
      <c r="I147" s="9">
        <v>644.96000000000004</v>
      </c>
      <c r="J147" s="9">
        <v>0.27000000000000002</v>
      </c>
      <c r="K147" s="9">
        <v>-126.90000000000001</v>
      </c>
      <c r="L147" s="9" t="s">
        <v>63</v>
      </c>
      <c r="M147" s="9" t="str">
        <f t="shared" si="0"/>
        <v>0-10%</v>
      </c>
    </row>
    <row r="148">
      <c r="A148" s="10">
        <v>45029</v>
      </c>
      <c r="B148" s="9" t="s">
        <v>222</v>
      </c>
      <c r="C148" s="9" t="s">
        <v>14</v>
      </c>
      <c r="D148" s="9" t="s">
        <v>10</v>
      </c>
      <c r="E148" s="9" t="s">
        <v>20</v>
      </c>
      <c r="F148" s="9" t="s">
        <v>69</v>
      </c>
      <c r="G148" s="9">
        <v>469.13</v>
      </c>
      <c r="H148" s="9">
        <v>13</v>
      </c>
      <c r="I148" s="9">
        <v>6098.6899999999996</v>
      </c>
      <c r="J148" s="9">
        <v>0.029999999999999999</v>
      </c>
      <c r="K148" s="9">
        <v>204.88999999999999</v>
      </c>
      <c r="L148" s="9" t="s">
        <v>55</v>
      </c>
      <c r="M148" s="9" t="str">
        <f t="shared" si="0"/>
        <v>20%+</v>
      </c>
    </row>
    <row r="149">
      <c r="A149" s="10">
        <v>45120</v>
      </c>
      <c r="B149" s="9" t="s">
        <v>223</v>
      </c>
      <c r="C149" s="9" t="s">
        <v>15</v>
      </c>
      <c r="D149" s="9" t="s">
        <v>12</v>
      </c>
      <c r="E149" s="9" t="s">
        <v>20</v>
      </c>
      <c r="F149" s="9" t="s">
        <v>65</v>
      </c>
      <c r="G149" s="9">
        <v>182.16999999999999</v>
      </c>
      <c r="H149" s="9">
        <v>15</v>
      </c>
      <c r="I149" s="9">
        <v>2732.5500000000002</v>
      </c>
      <c r="J149" s="9">
        <v>0.17999999999999999</v>
      </c>
      <c r="K149" s="9">
        <v>-306.55000000000001</v>
      </c>
      <c r="L149" s="9" t="s">
        <v>63</v>
      </c>
      <c r="M149" s="9" t="str">
        <f t="shared" si="0"/>
        <v>0-10%</v>
      </c>
    </row>
    <row r="150">
      <c r="A150" s="10">
        <v>45045</v>
      </c>
      <c r="B150" s="9" t="s">
        <v>224</v>
      </c>
      <c r="C150" s="9" t="s">
        <v>17</v>
      </c>
      <c r="D150" s="9" t="s">
        <v>9</v>
      </c>
      <c r="E150" s="9" t="s">
        <v>20</v>
      </c>
      <c r="F150" s="9" t="s">
        <v>80</v>
      </c>
      <c r="G150" s="9">
        <v>186.58000000000001</v>
      </c>
      <c r="H150" s="9">
        <v>12</v>
      </c>
      <c r="I150" s="9">
        <v>2238.96</v>
      </c>
      <c r="J150" s="9">
        <v>0.050000000000000003</v>
      </c>
      <c r="K150" s="9">
        <v>440.56</v>
      </c>
      <c r="L150" s="9" t="s">
        <v>58</v>
      </c>
      <c r="M150" s="9" t="str">
        <f t="shared" si="0"/>
        <v>10-20%</v>
      </c>
    </row>
    <row r="151">
      <c r="A151" s="10">
        <v>45264</v>
      </c>
      <c r="B151" s="9" t="s">
        <v>225</v>
      </c>
      <c r="C151" s="9" t="s">
        <v>17</v>
      </c>
      <c r="D151" s="9" t="s">
        <v>11</v>
      </c>
      <c r="E151" s="9" t="s">
        <v>22</v>
      </c>
      <c r="F151" s="9" t="s">
        <v>125</v>
      </c>
      <c r="G151" s="9">
        <v>26.809999999999999</v>
      </c>
      <c r="H151" s="9">
        <v>12</v>
      </c>
      <c r="I151" s="9">
        <v>321.72000000000003</v>
      </c>
      <c r="J151" s="9">
        <v>0.14999999999999999</v>
      </c>
      <c r="K151" s="9">
        <v>19.34</v>
      </c>
      <c r="L151" s="9" t="s">
        <v>63</v>
      </c>
      <c r="M151" s="9" t="str">
        <f t="shared" si="0"/>
        <v>0-10%</v>
      </c>
    </row>
    <row r="152">
      <c r="A152" s="10">
        <v>44934</v>
      </c>
      <c r="B152" s="9" t="s">
        <v>226</v>
      </c>
      <c r="C152" s="9" t="s">
        <v>14</v>
      </c>
      <c r="D152" s="9" t="s">
        <v>12</v>
      </c>
      <c r="E152" s="9" t="s">
        <v>22</v>
      </c>
      <c r="F152" s="9" t="s">
        <v>71</v>
      </c>
      <c r="G152" s="9">
        <v>152.02000000000001</v>
      </c>
      <c r="H152" s="9">
        <v>4</v>
      </c>
      <c r="I152" s="9">
        <v>608.08000000000004</v>
      </c>
      <c r="J152" s="9">
        <v>0.11</v>
      </c>
      <c r="K152" s="9">
        <v>4.6500000000000004</v>
      </c>
      <c r="L152" s="9" t="s">
        <v>72</v>
      </c>
      <c r="M152" s="9" t="str">
        <f t="shared" si="0"/>
        <v>10-20%</v>
      </c>
    </row>
    <row r="153">
      <c r="A153" s="10">
        <v>45078</v>
      </c>
      <c r="B153" s="9" t="s">
        <v>227</v>
      </c>
      <c r="C153" s="9" t="s">
        <v>16</v>
      </c>
      <c r="D153" s="9" t="s">
        <v>12</v>
      </c>
      <c r="E153" s="9" t="s">
        <v>20</v>
      </c>
      <c r="F153" s="9" t="s">
        <v>74</v>
      </c>
      <c r="G153" s="9">
        <v>316.77999999999997</v>
      </c>
      <c r="H153" s="9">
        <v>8</v>
      </c>
      <c r="I153" s="9">
        <v>2534.2399999999998</v>
      </c>
      <c r="J153" s="9">
        <v>0.27000000000000002</v>
      </c>
      <c r="K153" s="9">
        <v>-449.63999999999999</v>
      </c>
      <c r="L153" s="9" t="s">
        <v>63</v>
      </c>
      <c r="M153" s="9" t="str">
        <f t="shared" si="0"/>
        <v>10-20%</v>
      </c>
    </row>
    <row r="154">
      <c r="A154" s="10">
        <v>45106</v>
      </c>
      <c r="B154" s="9" t="s">
        <v>228</v>
      </c>
      <c r="C154" s="9" t="s">
        <v>17</v>
      </c>
      <c r="D154" s="9" t="s">
        <v>9</v>
      </c>
      <c r="E154" s="9" t="s">
        <v>22</v>
      </c>
      <c r="F154" s="9" t="s">
        <v>110</v>
      </c>
      <c r="G154" s="9">
        <v>211.91999999999999</v>
      </c>
      <c r="H154" s="9">
        <v>7</v>
      </c>
      <c r="I154" s="9">
        <v>1483.4400000000001</v>
      </c>
      <c r="J154" s="9">
        <v>0.28000000000000003</v>
      </c>
      <c r="K154" s="9">
        <v>-178.91</v>
      </c>
      <c r="L154" s="9" t="s">
        <v>63</v>
      </c>
      <c r="M154" s="9" t="str">
        <f t="shared" si="0"/>
        <v>20%+</v>
      </c>
    </row>
    <row r="155">
      <c r="A155" s="10">
        <v>45212</v>
      </c>
      <c r="B155" s="9" t="s">
        <v>229</v>
      </c>
      <c r="C155" s="9" t="s">
        <v>17</v>
      </c>
      <c r="D155" s="9" t="s">
        <v>9</v>
      </c>
      <c r="E155" s="9" t="s">
        <v>21</v>
      </c>
      <c r="F155" s="9" t="s">
        <v>82</v>
      </c>
      <c r="G155" s="9">
        <v>145.11000000000001</v>
      </c>
      <c r="H155" s="9">
        <v>3</v>
      </c>
      <c r="I155" s="9">
        <v>435.32999999999998</v>
      </c>
      <c r="J155" s="9">
        <v>0.14999999999999999</v>
      </c>
      <c r="K155" s="9">
        <v>4.5700000000000003</v>
      </c>
      <c r="L155" s="9" t="s">
        <v>58</v>
      </c>
      <c r="M155" s="9" t="str">
        <f t="shared" si="0"/>
        <v>20%+</v>
      </c>
    </row>
    <row r="156">
      <c r="A156" s="10">
        <v>44956</v>
      </c>
      <c r="B156" s="9" t="s">
        <v>230</v>
      </c>
      <c r="C156" s="9" t="s">
        <v>14</v>
      </c>
      <c r="D156" s="9" t="s">
        <v>8</v>
      </c>
      <c r="E156" s="9" t="s">
        <v>20</v>
      </c>
      <c r="F156" s="9" t="s">
        <v>69</v>
      </c>
      <c r="G156" s="9">
        <v>170.53</v>
      </c>
      <c r="H156" s="9">
        <v>2</v>
      </c>
      <c r="I156" s="9">
        <v>341.06</v>
      </c>
      <c r="J156" s="9">
        <v>0.059999999999999998</v>
      </c>
      <c r="K156" s="9">
        <v>24.120000000000001</v>
      </c>
      <c r="L156" s="9" t="s">
        <v>72</v>
      </c>
      <c r="M156" s="9" t="str">
        <f t="shared" si="0"/>
        <v>10-20%</v>
      </c>
    </row>
    <row r="157">
      <c r="A157" s="10">
        <v>45176</v>
      </c>
      <c r="B157" s="9" t="s">
        <v>231</v>
      </c>
      <c r="C157" s="9" t="s">
        <v>16</v>
      </c>
      <c r="D157" s="9" t="s">
        <v>9</v>
      </c>
      <c r="E157" s="9" t="s">
        <v>22</v>
      </c>
      <c r="F157" s="9" t="s">
        <v>54</v>
      </c>
      <c r="G157" s="9">
        <v>39.43</v>
      </c>
      <c r="H157" s="9">
        <v>4</v>
      </c>
      <c r="I157" s="9">
        <v>157.72</v>
      </c>
      <c r="J157" s="9">
        <v>0</v>
      </c>
      <c r="K157" s="9">
        <v>33.189999999999998</v>
      </c>
      <c r="L157" s="9" t="s">
        <v>55</v>
      </c>
      <c r="M157" s="9" t="str">
        <f t="shared" si="0"/>
        <v>0-10%</v>
      </c>
    </row>
    <row r="158">
      <c r="A158" s="10">
        <v>44967</v>
      </c>
      <c r="B158" s="9" t="s">
        <v>232</v>
      </c>
      <c r="C158" s="9" t="s">
        <v>17</v>
      </c>
      <c r="D158" s="9" t="s">
        <v>9</v>
      </c>
      <c r="E158" s="9" t="s">
        <v>22</v>
      </c>
      <c r="F158" s="9" t="s">
        <v>125</v>
      </c>
      <c r="G158" s="9">
        <v>403.81999999999999</v>
      </c>
      <c r="H158" s="9">
        <v>15</v>
      </c>
      <c r="I158" s="9">
        <v>6057.3000000000002</v>
      </c>
      <c r="J158" s="9">
        <v>0.17000000000000001</v>
      </c>
      <c r="K158" s="9">
        <v>-550.54999999999995</v>
      </c>
      <c r="L158" s="9" t="s">
        <v>58</v>
      </c>
      <c r="M158" s="9" t="str">
        <f t="shared" si="0"/>
        <v>0-10%</v>
      </c>
    </row>
    <row r="159">
      <c r="A159" s="10">
        <v>45113</v>
      </c>
      <c r="B159" s="9" t="s">
        <v>233</v>
      </c>
      <c r="C159" s="9" t="s">
        <v>17</v>
      </c>
      <c r="D159" s="9" t="s">
        <v>12</v>
      </c>
      <c r="E159" s="9" t="s">
        <v>21</v>
      </c>
      <c r="F159" s="9" t="s">
        <v>76</v>
      </c>
      <c r="G159" s="9">
        <v>495.87</v>
      </c>
      <c r="H159" s="9">
        <v>3</v>
      </c>
      <c r="I159" s="9">
        <v>1487.6099999999999</v>
      </c>
      <c r="J159" s="9">
        <v>0.17999999999999999</v>
      </c>
      <c r="K159" s="9">
        <v>85.719999999999999</v>
      </c>
      <c r="L159" s="9" t="s">
        <v>63</v>
      </c>
      <c r="M159" s="9" t="str">
        <f t="shared" si="0"/>
        <v>10-20%</v>
      </c>
    </row>
    <row r="160">
      <c r="A160" s="10">
        <v>45010</v>
      </c>
      <c r="B160" s="9" t="s">
        <v>234</v>
      </c>
      <c r="C160" s="9" t="s">
        <v>17</v>
      </c>
      <c r="D160" s="9" t="s">
        <v>12</v>
      </c>
      <c r="E160" s="9" t="s">
        <v>19</v>
      </c>
      <c r="F160" s="9" t="s">
        <v>62</v>
      </c>
      <c r="G160" s="9">
        <v>162.40000000000001</v>
      </c>
      <c r="H160" s="9">
        <v>12</v>
      </c>
      <c r="I160" s="9">
        <v>1948.8</v>
      </c>
      <c r="J160" s="9">
        <v>0.16</v>
      </c>
      <c r="K160" s="9">
        <v>-55.649999999999999</v>
      </c>
      <c r="L160" s="9" t="s">
        <v>55</v>
      </c>
      <c r="M160" s="9" t="str">
        <f t="shared" si="0"/>
        <v>10-20%</v>
      </c>
    </row>
    <row r="161">
      <c r="A161" s="10">
        <v>45246</v>
      </c>
      <c r="B161" s="9" t="s">
        <v>235</v>
      </c>
      <c r="C161" s="9" t="s">
        <v>15</v>
      </c>
      <c r="D161" s="9" t="s">
        <v>8</v>
      </c>
      <c r="E161" s="9" t="s">
        <v>22</v>
      </c>
      <c r="F161" s="9" t="s">
        <v>71</v>
      </c>
      <c r="G161" s="9">
        <v>44.920000000000002</v>
      </c>
      <c r="H161" s="9">
        <v>15</v>
      </c>
      <c r="I161" s="9">
        <v>673.79999999999995</v>
      </c>
      <c r="J161" s="9">
        <v>0.12</v>
      </c>
      <c r="K161" s="9">
        <v>-26.460000000000001</v>
      </c>
      <c r="L161" s="9" t="s">
        <v>55</v>
      </c>
      <c r="M161" s="9" t="str">
        <f t="shared" si="0"/>
        <v>10-20%</v>
      </c>
    </row>
    <row r="162">
      <c r="A162" s="10">
        <v>45026</v>
      </c>
      <c r="B162" s="9" t="s">
        <v>236</v>
      </c>
      <c r="C162" s="9" t="s">
        <v>14</v>
      </c>
      <c r="D162" s="9" t="s">
        <v>11</v>
      </c>
      <c r="E162" s="9" t="s">
        <v>21</v>
      </c>
      <c r="F162" s="9" t="s">
        <v>88</v>
      </c>
      <c r="G162" s="9">
        <v>438.31</v>
      </c>
      <c r="H162" s="9">
        <v>12</v>
      </c>
      <c r="I162" s="9">
        <v>5259.7200000000003</v>
      </c>
      <c r="J162" s="9">
        <v>0.10000000000000001</v>
      </c>
      <c r="K162" s="9">
        <v>59.520000000000003</v>
      </c>
      <c r="L162" s="9" t="s">
        <v>63</v>
      </c>
      <c r="M162" s="9" t="str">
        <f t="shared" si="0"/>
        <v>10-20%</v>
      </c>
    </row>
    <row r="163">
      <c r="A163" s="10">
        <v>45067</v>
      </c>
      <c r="B163" s="9" t="s">
        <v>237</v>
      </c>
      <c r="C163" s="9" t="s">
        <v>14</v>
      </c>
      <c r="D163" s="9" t="s">
        <v>10</v>
      </c>
      <c r="E163" s="9" t="s">
        <v>20</v>
      </c>
      <c r="F163" s="9" t="s">
        <v>69</v>
      </c>
      <c r="G163" s="9">
        <v>257.44999999999999</v>
      </c>
      <c r="H163" s="9">
        <v>4</v>
      </c>
      <c r="I163" s="9">
        <v>1029.8</v>
      </c>
      <c r="J163" s="9">
        <v>0.28000000000000003</v>
      </c>
      <c r="K163" s="9">
        <v>-213.81</v>
      </c>
      <c r="L163" s="9" t="s">
        <v>72</v>
      </c>
      <c r="M163" s="9" t="str">
        <f t="shared" si="0"/>
        <v>0-10%</v>
      </c>
    </row>
    <row r="164">
      <c r="A164" s="10">
        <v>45110</v>
      </c>
      <c r="B164" s="9" t="s">
        <v>238</v>
      </c>
      <c r="C164" s="9" t="s">
        <v>16</v>
      </c>
      <c r="D164" s="9" t="s">
        <v>12</v>
      </c>
      <c r="E164" s="9" t="s">
        <v>20</v>
      </c>
      <c r="F164" s="9" t="s">
        <v>80</v>
      </c>
      <c r="G164" s="9">
        <v>199.69</v>
      </c>
      <c r="H164" s="9">
        <v>13</v>
      </c>
      <c r="I164" s="9">
        <v>2595.9699999999998</v>
      </c>
      <c r="J164" s="9">
        <v>0.22</v>
      </c>
      <c r="K164" s="9">
        <v>-357.91000000000003</v>
      </c>
      <c r="L164" s="9" t="s">
        <v>72</v>
      </c>
      <c r="M164" s="9" t="str">
        <f t="shared" si="0"/>
        <v>20%+</v>
      </c>
    </row>
    <row r="165">
      <c r="A165" s="10">
        <v>45070</v>
      </c>
      <c r="B165" s="9" t="s">
        <v>239</v>
      </c>
      <c r="C165" s="9" t="s">
        <v>17</v>
      </c>
      <c r="D165" s="9" t="s">
        <v>8</v>
      </c>
      <c r="E165" s="9" t="s">
        <v>21</v>
      </c>
      <c r="F165" s="9" t="s">
        <v>76</v>
      </c>
      <c r="G165" s="9">
        <v>444.13999999999999</v>
      </c>
      <c r="H165" s="9">
        <v>15</v>
      </c>
      <c r="I165" s="9">
        <v>6662.1000000000004</v>
      </c>
      <c r="J165" s="9">
        <v>0.10000000000000001</v>
      </c>
      <c r="K165" s="9">
        <v>27.170000000000002</v>
      </c>
      <c r="L165" s="9" t="s">
        <v>55</v>
      </c>
      <c r="M165" s="9" t="str">
        <f t="shared" si="0"/>
        <v>20%+</v>
      </c>
    </row>
    <row r="166">
      <c r="A166" s="10">
        <v>45193</v>
      </c>
      <c r="B166" s="9" t="s">
        <v>240</v>
      </c>
      <c r="C166" s="9" t="s">
        <v>16</v>
      </c>
      <c r="D166" s="9" t="s">
        <v>9</v>
      </c>
      <c r="E166" s="9" t="s">
        <v>21</v>
      </c>
      <c r="F166" s="9" t="s">
        <v>82</v>
      </c>
      <c r="G166" s="9">
        <v>337.88</v>
      </c>
      <c r="H166" s="9">
        <v>1</v>
      </c>
      <c r="I166" s="9">
        <v>337.88</v>
      </c>
      <c r="J166" s="9">
        <v>0.17000000000000001</v>
      </c>
      <c r="K166" s="9">
        <v>22.309999999999999</v>
      </c>
      <c r="L166" s="9" t="s">
        <v>58</v>
      </c>
      <c r="M166" s="9" t="str">
        <f t="shared" si="0"/>
        <v>0-10%</v>
      </c>
    </row>
    <row r="167">
      <c r="A167" s="10">
        <v>44985</v>
      </c>
      <c r="B167" s="9" t="s">
        <v>241</v>
      </c>
      <c r="C167" s="9" t="s">
        <v>17</v>
      </c>
      <c r="D167" s="9" t="s">
        <v>12</v>
      </c>
      <c r="E167" s="9" t="s">
        <v>21</v>
      </c>
      <c r="F167" s="9" t="s">
        <v>96</v>
      </c>
      <c r="G167" s="9">
        <v>346.25</v>
      </c>
      <c r="H167" s="9">
        <v>9</v>
      </c>
      <c r="I167" s="9">
        <v>3116.25</v>
      </c>
      <c r="J167" s="9">
        <v>0.28999999999999998</v>
      </c>
      <c r="K167" s="9">
        <v>-744.25999999999999</v>
      </c>
      <c r="L167" s="9" t="s">
        <v>55</v>
      </c>
      <c r="M167" s="9" t="str">
        <f t="shared" si="0"/>
        <v>10-20%</v>
      </c>
    </row>
    <row r="168">
      <c r="A168" s="10">
        <v>45098</v>
      </c>
      <c r="B168" s="9" t="s">
        <v>242</v>
      </c>
      <c r="C168" s="9" t="s">
        <v>17</v>
      </c>
      <c r="D168" s="9" t="s">
        <v>8</v>
      </c>
      <c r="E168" s="9" t="s">
        <v>22</v>
      </c>
      <c r="F168" s="9" t="s">
        <v>84</v>
      </c>
      <c r="G168" s="9">
        <v>371.48000000000002</v>
      </c>
      <c r="H168" s="9">
        <v>2</v>
      </c>
      <c r="I168" s="9">
        <v>742.96000000000004</v>
      </c>
      <c r="J168" s="9">
        <v>0</v>
      </c>
      <c r="K168" s="9">
        <v>153.25</v>
      </c>
      <c r="L168" s="9" t="s">
        <v>72</v>
      </c>
      <c r="M168" s="9" t="str">
        <f t="shared" si="0"/>
        <v>20%+</v>
      </c>
    </row>
    <row r="169">
      <c r="A169" s="10">
        <v>45235</v>
      </c>
      <c r="B169" s="9" t="s">
        <v>243</v>
      </c>
      <c r="C169" s="9" t="s">
        <v>17</v>
      </c>
      <c r="D169" s="9" t="s">
        <v>9</v>
      </c>
      <c r="E169" s="9" t="s">
        <v>22</v>
      </c>
      <c r="F169" s="9" t="s">
        <v>125</v>
      </c>
      <c r="G169" s="9">
        <v>38.950000000000003</v>
      </c>
      <c r="H169" s="9">
        <v>8</v>
      </c>
      <c r="I169" s="9">
        <v>311.60000000000002</v>
      </c>
      <c r="J169" s="9">
        <v>0.050000000000000003</v>
      </c>
      <c r="K169" s="9">
        <v>4.1299999999999999</v>
      </c>
      <c r="L169" s="9" t="s">
        <v>63</v>
      </c>
      <c r="M169" s="9" t="str">
        <f t="shared" si="0"/>
        <v>0-10%</v>
      </c>
    </row>
    <row r="170">
      <c r="A170" s="10">
        <v>45145</v>
      </c>
      <c r="B170" s="9" t="s">
        <v>244</v>
      </c>
      <c r="C170" s="9" t="s">
        <v>16</v>
      </c>
      <c r="D170" s="9" t="s">
        <v>12</v>
      </c>
      <c r="E170" s="9" t="s">
        <v>21</v>
      </c>
      <c r="F170" s="9" t="s">
        <v>96</v>
      </c>
      <c r="G170" s="9">
        <v>287.81999999999999</v>
      </c>
      <c r="H170" s="9">
        <v>13</v>
      </c>
      <c r="I170" s="9">
        <v>3741.6599999999999</v>
      </c>
      <c r="J170" s="9">
        <v>0.10000000000000001</v>
      </c>
      <c r="K170" s="9">
        <v>197.83000000000001</v>
      </c>
      <c r="L170" s="9" t="s">
        <v>58</v>
      </c>
      <c r="M170" s="9" t="str">
        <f t="shared" si="0"/>
        <v>0-10%</v>
      </c>
    </row>
    <row r="171">
      <c r="A171" s="10">
        <v>44980</v>
      </c>
      <c r="B171" s="9" t="s">
        <v>245</v>
      </c>
      <c r="C171" s="9" t="s">
        <v>15</v>
      </c>
      <c r="D171" s="9" t="s">
        <v>11</v>
      </c>
      <c r="E171" s="9" t="s">
        <v>19</v>
      </c>
      <c r="F171" s="9" t="s">
        <v>57</v>
      </c>
      <c r="G171" s="9">
        <v>278.44999999999999</v>
      </c>
      <c r="H171" s="9">
        <v>13</v>
      </c>
      <c r="I171" s="9">
        <v>3619.8499999999999</v>
      </c>
      <c r="J171" s="9">
        <v>0.17000000000000001</v>
      </c>
      <c r="K171" s="9">
        <v>-134.06999999999999</v>
      </c>
      <c r="L171" s="9" t="s">
        <v>63</v>
      </c>
      <c r="M171" s="9" t="str">
        <f t="shared" si="0"/>
        <v>0-10%</v>
      </c>
    </row>
    <row r="172">
      <c r="A172" s="10">
        <v>45012</v>
      </c>
      <c r="B172" s="9" t="s">
        <v>246</v>
      </c>
      <c r="C172" s="9" t="s">
        <v>15</v>
      </c>
      <c r="D172" s="9" t="s">
        <v>9</v>
      </c>
      <c r="E172" s="9" t="s">
        <v>22</v>
      </c>
      <c r="F172" s="9" t="s">
        <v>71</v>
      </c>
      <c r="G172" s="9">
        <v>21.91</v>
      </c>
      <c r="H172" s="9">
        <v>6</v>
      </c>
      <c r="I172" s="9">
        <v>131.46000000000001</v>
      </c>
      <c r="J172" s="9">
        <v>0</v>
      </c>
      <c r="K172" s="9">
        <v>31.379999999999999</v>
      </c>
      <c r="L172" s="9" t="s">
        <v>55</v>
      </c>
      <c r="M172" s="9" t="str">
        <f t="shared" si="0"/>
        <v>10-20%</v>
      </c>
    </row>
    <row r="173">
      <c r="A173" s="10">
        <v>45218</v>
      </c>
      <c r="B173" s="9" t="s">
        <v>247</v>
      </c>
      <c r="C173" s="9" t="s">
        <v>16</v>
      </c>
      <c r="D173" s="9" t="s">
        <v>9</v>
      </c>
      <c r="E173" s="9" t="s">
        <v>22</v>
      </c>
      <c r="F173" s="9" t="s">
        <v>84</v>
      </c>
      <c r="G173" s="9">
        <v>287.88</v>
      </c>
      <c r="H173" s="9">
        <v>1</v>
      </c>
      <c r="I173" s="9">
        <v>287.88</v>
      </c>
      <c r="J173" s="9">
        <v>0.029999999999999999</v>
      </c>
      <c r="K173" s="9">
        <v>35.770000000000003</v>
      </c>
      <c r="L173" s="9" t="s">
        <v>63</v>
      </c>
      <c r="M173" s="9" t="str">
        <f t="shared" si="0"/>
        <v>0-10%</v>
      </c>
    </row>
    <row r="174">
      <c r="A174" s="10">
        <v>45105</v>
      </c>
      <c r="B174" s="9" t="s">
        <v>248</v>
      </c>
      <c r="C174" s="9" t="s">
        <v>16</v>
      </c>
      <c r="D174" s="9" t="s">
        <v>11</v>
      </c>
      <c r="E174" s="9" t="s">
        <v>21</v>
      </c>
      <c r="F174" s="9" t="s">
        <v>82</v>
      </c>
      <c r="G174" s="9">
        <v>127.81999999999999</v>
      </c>
      <c r="H174" s="9">
        <v>11</v>
      </c>
      <c r="I174" s="9">
        <v>1406.02</v>
      </c>
      <c r="J174" s="9">
        <v>0.12</v>
      </c>
      <c r="K174" s="9">
        <v>66.829999999999998</v>
      </c>
      <c r="L174" s="9" t="s">
        <v>72</v>
      </c>
      <c r="M174" s="9" t="str">
        <f t="shared" si="0"/>
        <v>0-10%</v>
      </c>
    </row>
    <row r="175">
      <c r="A175" s="10">
        <v>45032</v>
      </c>
      <c r="B175" s="9" t="s">
        <v>249</v>
      </c>
      <c r="C175" s="9" t="s">
        <v>17</v>
      </c>
      <c r="D175" s="9" t="s">
        <v>8</v>
      </c>
      <c r="E175" s="9" t="s">
        <v>21</v>
      </c>
      <c r="F175" s="9" t="s">
        <v>96</v>
      </c>
      <c r="G175" s="9">
        <v>357.20999999999998</v>
      </c>
      <c r="H175" s="9">
        <v>13</v>
      </c>
      <c r="I175" s="9">
        <v>4643.7299999999996</v>
      </c>
      <c r="J175" s="9">
        <v>0.12</v>
      </c>
      <c r="K175" s="9">
        <v>-6.0499999999999998</v>
      </c>
      <c r="L175" s="9" t="s">
        <v>58</v>
      </c>
      <c r="M175" s="9" t="str">
        <f t="shared" si="0"/>
        <v>10-20%</v>
      </c>
    </row>
    <row r="176">
      <c r="A176" s="10">
        <v>45166</v>
      </c>
      <c r="B176" s="9" t="s">
        <v>250</v>
      </c>
      <c r="C176" s="9" t="s">
        <v>16</v>
      </c>
      <c r="D176" s="9" t="s">
        <v>12</v>
      </c>
      <c r="E176" s="9" t="s">
        <v>20</v>
      </c>
      <c r="F176" s="9" t="s">
        <v>74</v>
      </c>
      <c r="G176" s="9">
        <v>498.48000000000002</v>
      </c>
      <c r="H176" s="9">
        <v>3</v>
      </c>
      <c r="I176" s="9">
        <v>1495.4400000000001</v>
      </c>
      <c r="J176" s="9">
        <v>0.23000000000000001</v>
      </c>
      <c r="K176" s="9">
        <v>-40.200000000000003</v>
      </c>
      <c r="L176" s="9" t="s">
        <v>55</v>
      </c>
      <c r="M176" s="9" t="str">
        <f t="shared" si="0"/>
        <v>10-20%</v>
      </c>
    </row>
    <row r="177">
      <c r="A177" s="10">
        <v>44969</v>
      </c>
      <c r="B177" s="9" t="s">
        <v>251</v>
      </c>
      <c r="C177" s="9" t="s">
        <v>15</v>
      </c>
      <c r="D177" s="9" t="s">
        <v>8</v>
      </c>
      <c r="E177" s="9" t="s">
        <v>21</v>
      </c>
      <c r="F177" s="9" t="s">
        <v>96</v>
      </c>
      <c r="G177" s="9">
        <v>137.31</v>
      </c>
      <c r="H177" s="9">
        <v>5</v>
      </c>
      <c r="I177" s="9">
        <v>686.54999999999995</v>
      </c>
      <c r="J177" s="9">
        <v>0.26000000000000001</v>
      </c>
      <c r="K177" s="9">
        <v>-11.56</v>
      </c>
      <c r="L177" s="9" t="s">
        <v>58</v>
      </c>
      <c r="M177" s="9" t="str">
        <f t="shared" si="0"/>
        <v>20%+</v>
      </c>
    </row>
    <row r="178">
      <c r="A178" s="10">
        <v>45019</v>
      </c>
      <c r="B178" s="9" t="s">
        <v>252</v>
      </c>
      <c r="C178" s="9" t="s">
        <v>16</v>
      </c>
      <c r="D178" s="9" t="s">
        <v>9</v>
      </c>
      <c r="E178" s="9" t="s">
        <v>22</v>
      </c>
      <c r="F178" s="9" t="s">
        <v>54</v>
      </c>
      <c r="G178" s="9">
        <v>359.89999999999998</v>
      </c>
      <c r="H178" s="9">
        <v>10</v>
      </c>
      <c r="I178" s="9">
        <v>3599</v>
      </c>
      <c r="J178" s="9">
        <v>0.01</v>
      </c>
      <c r="K178" s="9">
        <v>296.45999999999998</v>
      </c>
      <c r="L178" s="9" t="s">
        <v>63</v>
      </c>
      <c r="M178" s="9" t="str">
        <f t="shared" si="0"/>
        <v>20%+</v>
      </c>
    </row>
    <row r="179">
      <c r="A179" s="10">
        <v>44983</v>
      </c>
      <c r="B179" s="9" t="s">
        <v>253</v>
      </c>
      <c r="C179" s="9" t="s">
        <v>15</v>
      </c>
      <c r="D179" s="9" t="s">
        <v>10</v>
      </c>
      <c r="E179" s="9" t="s">
        <v>21</v>
      </c>
      <c r="F179" s="9" t="s">
        <v>96</v>
      </c>
      <c r="G179" s="9">
        <v>446.41000000000003</v>
      </c>
      <c r="H179" s="9">
        <v>1</v>
      </c>
      <c r="I179" s="9">
        <v>446.41000000000003</v>
      </c>
      <c r="J179" s="9">
        <v>0.28999999999999998</v>
      </c>
      <c r="K179" s="9">
        <v>-20.68</v>
      </c>
      <c r="L179" s="9" t="s">
        <v>63</v>
      </c>
      <c r="M179" s="9" t="str">
        <f t="shared" si="0"/>
        <v>0-10%</v>
      </c>
    </row>
    <row r="180">
      <c r="A180" s="10">
        <v>45286</v>
      </c>
      <c r="B180" s="9" t="s">
        <v>254</v>
      </c>
      <c r="C180" s="9" t="s">
        <v>17</v>
      </c>
      <c r="D180" s="9" t="s">
        <v>9</v>
      </c>
      <c r="E180" s="9" t="s">
        <v>19</v>
      </c>
      <c r="F180" s="9" t="s">
        <v>98</v>
      </c>
      <c r="G180" s="9">
        <v>68.579999999999998</v>
      </c>
      <c r="H180" s="9">
        <v>12</v>
      </c>
      <c r="I180" s="9">
        <v>822.96000000000004</v>
      </c>
      <c r="J180" s="9">
        <v>0.01</v>
      </c>
      <c r="K180" s="9">
        <v>88.739999999999995</v>
      </c>
      <c r="L180" s="9" t="s">
        <v>63</v>
      </c>
      <c r="M180" s="9" t="str">
        <f t="shared" si="0"/>
        <v>20%+</v>
      </c>
    </row>
    <row r="181">
      <c r="A181" s="10">
        <v>45026</v>
      </c>
      <c r="B181" s="9" t="s">
        <v>255</v>
      </c>
      <c r="C181" s="9" t="s">
        <v>16</v>
      </c>
      <c r="D181" s="9" t="s">
        <v>9</v>
      </c>
      <c r="E181" s="9" t="s">
        <v>22</v>
      </c>
      <c r="F181" s="9" t="s">
        <v>84</v>
      </c>
      <c r="G181" s="9">
        <v>275.63999999999999</v>
      </c>
      <c r="H181" s="9">
        <v>8</v>
      </c>
      <c r="I181" s="9">
        <v>2205.1199999999999</v>
      </c>
      <c r="J181" s="9">
        <v>0.23999999999999999</v>
      </c>
      <c r="K181" s="9">
        <v>-332.61000000000001</v>
      </c>
      <c r="L181" s="9" t="s">
        <v>72</v>
      </c>
      <c r="M181" s="9" t="str">
        <f t="shared" si="0"/>
        <v>0-10%</v>
      </c>
    </row>
    <row r="182">
      <c r="A182" s="10">
        <v>45119</v>
      </c>
      <c r="B182" s="9" t="s">
        <v>256</v>
      </c>
      <c r="C182" s="9" t="s">
        <v>16</v>
      </c>
      <c r="D182" s="9" t="s">
        <v>9</v>
      </c>
      <c r="E182" s="9" t="s">
        <v>22</v>
      </c>
      <c r="F182" s="9" t="s">
        <v>125</v>
      </c>
      <c r="G182" s="9">
        <v>262.05000000000001</v>
      </c>
      <c r="H182" s="9">
        <v>7</v>
      </c>
      <c r="I182" s="9">
        <v>1834.3499999999999</v>
      </c>
      <c r="J182" s="9">
        <v>0.070000000000000007</v>
      </c>
      <c r="K182" s="9">
        <v>161.93000000000001</v>
      </c>
      <c r="L182" s="9" t="s">
        <v>72</v>
      </c>
      <c r="M182" s="9" t="str">
        <f t="shared" si="0"/>
        <v>20%+</v>
      </c>
    </row>
    <row r="183">
      <c r="A183" s="10">
        <v>44950</v>
      </c>
      <c r="B183" s="9" t="s">
        <v>257</v>
      </c>
      <c r="C183" s="9" t="s">
        <v>17</v>
      </c>
      <c r="D183" s="9" t="s">
        <v>9</v>
      </c>
      <c r="E183" s="9" t="s">
        <v>20</v>
      </c>
      <c r="F183" s="9" t="s">
        <v>101</v>
      </c>
      <c r="G183" s="9">
        <v>343.04000000000002</v>
      </c>
      <c r="H183" s="9">
        <v>14</v>
      </c>
      <c r="I183" s="9">
        <v>4802.5600000000004</v>
      </c>
      <c r="J183" s="9">
        <v>0.28999999999999998</v>
      </c>
      <c r="K183" s="9">
        <v>-907.36000000000001</v>
      </c>
      <c r="L183" s="9" t="s">
        <v>58</v>
      </c>
      <c r="M183" s="9" t="str">
        <f t="shared" si="0"/>
        <v>0-10%</v>
      </c>
    </row>
    <row r="184">
      <c r="A184" s="10">
        <v>45031</v>
      </c>
      <c r="B184" s="9" t="s">
        <v>258</v>
      </c>
      <c r="C184" s="9" t="s">
        <v>17</v>
      </c>
      <c r="D184" s="9" t="s">
        <v>9</v>
      </c>
      <c r="E184" s="9" t="s">
        <v>19</v>
      </c>
      <c r="F184" s="9" t="s">
        <v>67</v>
      </c>
      <c r="G184" s="9">
        <v>84</v>
      </c>
      <c r="H184" s="9">
        <v>12</v>
      </c>
      <c r="I184" s="9">
        <v>1008</v>
      </c>
      <c r="J184" s="9">
        <v>0.17999999999999999</v>
      </c>
      <c r="K184" s="9">
        <v>-105.34999999999999</v>
      </c>
      <c r="L184" s="9" t="s">
        <v>55</v>
      </c>
      <c r="M184" s="9" t="str">
        <f t="shared" si="0"/>
        <v>20%+</v>
      </c>
    </row>
    <row r="185">
      <c r="A185" s="10">
        <v>45258</v>
      </c>
      <c r="B185" s="9" t="s">
        <v>259</v>
      </c>
      <c r="C185" s="9" t="s">
        <v>14</v>
      </c>
      <c r="D185" s="9" t="s">
        <v>12</v>
      </c>
      <c r="E185" s="9" t="s">
        <v>21</v>
      </c>
      <c r="F185" s="9" t="s">
        <v>76</v>
      </c>
      <c r="G185" s="9">
        <v>307.04000000000002</v>
      </c>
      <c r="H185" s="9">
        <v>5</v>
      </c>
      <c r="I185" s="9">
        <v>1535.2</v>
      </c>
      <c r="J185" s="9">
        <v>0.22</v>
      </c>
      <c r="K185" s="9">
        <v>-42.719999999999999</v>
      </c>
      <c r="L185" s="9" t="s">
        <v>55</v>
      </c>
      <c r="M185" s="9" t="str">
        <f t="shared" si="0"/>
        <v>10-20%</v>
      </c>
    </row>
    <row r="186">
      <c r="A186" s="10">
        <v>45111</v>
      </c>
      <c r="B186" s="9" t="s">
        <v>260</v>
      </c>
      <c r="C186" s="9" t="s">
        <v>16</v>
      </c>
      <c r="D186" s="9" t="s">
        <v>12</v>
      </c>
      <c r="E186" s="9" t="s">
        <v>20</v>
      </c>
      <c r="F186" s="9" t="s">
        <v>74</v>
      </c>
      <c r="G186" s="9">
        <v>49.609999999999999</v>
      </c>
      <c r="H186" s="9">
        <v>10</v>
      </c>
      <c r="I186" s="9">
        <v>496.10000000000002</v>
      </c>
      <c r="J186" s="9">
        <v>0.20000000000000001</v>
      </c>
      <c r="K186" s="9">
        <v>-21.5</v>
      </c>
      <c r="L186" s="9" t="s">
        <v>55</v>
      </c>
      <c r="M186" s="9" t="str">
        <f t="shared" si="0"/>
        <v>20%+</v>
      </c>
    </row>
    <row r="187">
      <c r="A187" s="10">
        <v>45075</v>
      </c>
      <c r="B187" s="9" t="s">
        <v>261</v>
      </c>
      <c r="C187" s="9" t="s">
        <v>15</v>
      </c>
      <c r="D187" s="9" t="s">
        <v>8</v>
      </c>
      <c r="E187" s="9" t="s">
        <v>20</v>
      </c>
      <c r="F187" s="9" t="s">
        <v>65</v>
      </c>
      <c r="G187" s="9">
        <v>50.43</v>
      </c>
      <c r="H187" s="9">
        <v>12</v>
      </c>
      <c r="I187" s="9">
        <v>605.15999999999997</v>
      </c>
      <c r="J187" s="9">
        <v>0.14999999999999999</v>
      </c>
      <c r="K187" s="9">
        <v>1.73</v>
      </c>
      <c r="L187" s="9" t="s">
        <v>72</v>
      </c>
      <c r="M187" s="9" t="str">
        <f t="shared" si="0"/>
        <v>10-20%</v>
      </c>
    </row>
    <row r="188">
      <c r="A188" s="10">
        <v>45203</v>
      </c>
      <c r="B188" s="9" t="s">
        <v>262</v>
      </c>
      <c r="C188" s="9" t="s">
        <v>14</v>
      </c>
      <c r="D188" s="9" t="s">
        <v>9</v>
      </c>
      <c r="E188" s="9" t="s">
        <v>21</v>
      </c>
      <c r="F188" s="9" t="s">
        <v>82</v>
      </c>
      <c r="G188" s="9">
        <v>72.950000000000003</v>
      </c>
      <c r="H188" s="9">
        <v>4</v>
      </c>
      <c r="I188" s="9">
        <v>291.80000000000001</v>
      </c>
      <c r="J188" s="9">
        <v>0.17000000000000001</v>
      </c>
      <c r="K188" s="9">
        <v>20.52</v>
      </c>
      <c r="L188" s="9" t="s">
        <v>63</v>
      </c>
      <c r="M188" s="9" t="str">
        <f t="shared" si="0"/>
        <v>10-20%</v>
      </c>
    </row>
    <row r="189">
      <c r="A189" s="10">
        <v>45219</v>
      </c>
      <c r="B189" s="9" t="s">
        <v>263</v>
      </c>
      <c r="C189" s="9" t="s">
        <v>15</v>
      </c>
      <c r="D189" s="9" t="s">
        <v>10</v>
      </c>
      <c r="E189" s="9" t="s">
        <v>19</v>
      </c>
      <c r="F189" s="9" t="s">
        <v>57</v>
      </c>
      <c r="G189" s="9">
        <v>329.56</v>
      </c>
      <c r="H189" s="9">
        <v>15</v>
      </c>
      <c r="I189" s="9">
        <v>4943.3999999999996</v>
      </c>
      <c r="J189" s="9">
        <v>0.23999999999999999</v>
      </c>
      <c r="K189" s="9">
        <v>-375.56999999999999</v>
      </c>
      <c r="L189" s="9" t="s">
        <v>63</v>
      </c>
      <c r="M189" s="9" t="str">
        <f t="shared" si="0"/>
        <v>10-20%</v>
      </c>
    </row>
    <row r="190">
      <c r="A190" s="10">
        <v>45014</v>
      </c>
      <c r="B190" s="9" t="s">
        <v>264</v>
      </c>
      <c r="C190" s="9" t="s">
        <v>17</v>
      </c>
      <c r="D190" s="9" t="s">
        <v>8</v>
      </c>
      <c r="E190" s="9" t="s">
        <v>20</v>
      </c>
      <c r="F190" s="9" t="s">
        <v>69</v>
      </c>
      <c r="G190" s="9">
        <v>51.229999999999997</v>
      </c>
      <c r="H190" s="9">
        <v>5</v>
      </c>
      <c r="I190" s="9">
        <v>256.14999999999998</v>
      </c>
      <c r="J190" s="9">
        <v>0.12</v>
      </c>
      <c r="K190" s="9">
        <v>23.210000000000001</v>
      </c>
      <c r="L190" s="9" t="s">
        <v>63</v>
      </c>
      <c r="M190" s="9" t="str">
        <f t="shared" si="0"/>
        <v>20%+</v>
      </c>
    </row>
    <row r="191">
      <c r="A191" s="10">
        <v>44984</v>
      </c>
      <c r="B191" s="9" t="s">
        <v>265</v>
      </c>
      <c r="C191" s="9" t="s">
        <v>14</v>
      </c>
      <c r="D191" s="9" t="s">
        <v>11</v>
      </c>
      <c r="E191" s="9" t="s">
        <v>21</v>
      </c>
      <c r="F191" s="9" t="s">
        <v>88</v>
      </c>
      <c r="G191" s="9">
        <v>15.27</v>
      </c>
      <c r="H191" s="9">
        <v>12</v>
      </c>
      <c r="I191" s="9">
        <v>183.24000000000001</v>
      </c>
      <c r="J191" s="9">
        <v>0</v>
      </c>
      <c r="K191" s="9">
        <v>12.630000000000001</v>
      </c>
      <c r="L191" s="9" t="s">
        <v>63</v>
      </c>
      <c r="M191" s="9" t="str">
        <f t="shared" si="0"/>
        <v>10-20%</v>
      </c>
    </row>
    <row r="192">
      <c r="A192" s="10">
        <v>45092</v>
      </c>
      <c r="B192" s="9" t="s">
        <v>266</v>
      </c>
      <c r="C192" s="9" t="s">
        <v>15</v>
      </c>
      <c r="D192" s="9" t="s">
        <v>9</v>
      </c>
      <c r="E192" s="9" t="s">
        <v>20</v>
      </c>
      <c r="F192" s="9" t="s">
        <v>101</v>
      </c>
      <c r="G192" s="9">
        <v>39.509999999999998</v>
      </c>
      <c r="H192" s="9">
        <v>5</v>
      </c>
      <c r="I192" s="9">
        <v>197.55000000000001</v>
      </c>
      <c r="J192" s="9">
        <v>0</v>
      </c>
      <c r="K192" s="9">
        <v>23.07</v>
      </c>
      <c r="L192" s="9" t="s">
        <v>63</v>
      </c>
      <c r="M192" s="9" t="str">
        <f t="shared" si="0"/>
        <v>0-10%</v>
      </c>
    </row>
    <row r="193">
      <c r="A193" s="10">
        <v>45284</v>
      </c>
      <c r="B193" s="9" t="s">
        <v>267</v>
      </c>
      <c r="C193" s="9" t="s">
        <v>16</v>
      </c>
      <c r="D193" s="9" t="s">
        <v>11</v>
      </c>
      <c r="E193" s="9" t="s">
        <v>22</v>
      </c>
      <c r="F193" s="9" t="s">
        <v>125</v>
      </c>
      <c r="G193" s="9">
        <v>242.21000000000001</v>
      </c>
      <c r="H193" s="9">
        <v>14</v>
      </c>
      <c r="I193" s="9">
        <v>3390.9400000000001</v>
      </c>
      <c r="J193" s="9">
        <v>0.17999999999999999</v>
      </c>
      <c r="K193" s="9">
        <v>51.149999999999999</v>
      </c>
      <c r="L193" s="9" t="s">
        <v>55</v>
      </c>
      <c r="M193" s="9" t="str">
        <f t="shared" si="0"/>
        <v>0-10%</v>
      </c>
    </row>
    <row r="194">
      <c r="A194" s="10">
        <v>45205</v>
      </c>
      <c r="B194" s="9" t="s">
        <v>268</v>
      </c>
      <c r="C194" s="9" t="s">
        <v>14</v>
      </c>
      <c r="D194" s="9" t="s">
        <v>10</v>
      </c>
      <c r="E194" s="9" t="s">
        <v>21</v>
      </c>
      <c r="F194" s="9" t="s">
        <v>76</v>
      </c>
      <c r="G194" s="9">
        <v>313.80000000000001</v>
      </c>
      <c r="H194" s="9">
        <v>10</v>
      </c>
      <c r="I194" s="9">
        <v>3138</v>
      </c>
      <c r="J194" s="9">
        <v>0.26000000000000001</v>
      </c>
      <c r="K194" s="9">
        <v>-379.32999999999998</v>
      </c>
      <c r="L194" s="9" t="s">
        <v>55</v>
      </c>
      <c r="M194" s="9" t="str">
        <f t="shared" si="0"/>
        <v>10-20%</v>
      </c>
    </row>
    <row r="195">
      <c r="A195" s="10">
        <v>44973</v>
      </c>
      <c r="B195" s="9" t="s">
        <v>269</v>
      </c>
      <c r="C195" s="9" t="s">
        <v>14</v>
      </c>
      <c r="D195" s="9" t="s">
        <v>8</v>
      </c>
      <c r="E195" s="9" t="s">
        <v>19</v>
      </c>
      <c r="F195" s="9" t="s">
        <v>98</v>
      </c>
      <c r="G195" s="9">
        <v>52.909999999999997</v>
      </c>
      <c r="H195" s="9">
        <v>9</v>
      </c>
      <c r="I195" s="9">
        <v>476.19</v>
      </c>
      <c r="J195" s="9">
        <v>0.13</v>
      </c>
      <c r="K195" s="9">
        <v>-5.8300000000000001</v>
      </c>
      <c r="L195" s="9" t="s">
        <v>63</v>
      </c>
      <c r="M195" s="9" t="str">
        <f t="shared" si="0"/>
        <v>20%+</v>
      </c>
    </row>
    <row r="196">
      <c r="A196" s="10">
        <v>45118</v>
      </c>
      <c r="B196" s="9" t="s">
        <v>270</v>
      </c>
      <c r="C196" s="9" t="s">
        <v>14</v>
      </c>
      <c r="D196" s="9" t="s">
        <v>8</v>
      </c>
      <c r="E196" s="9" t="s">
        <v>21</v>
      </c>
      <c r="F196" s="9" t="s">
        <v>96</v>
      </c>
      <c r="G196" s="9">
        <v>449.48000000000002</v>
      </c>
      <c r="H196" s="9">
        <v>4</v>
      </c>
      <c r="I196" s="9">
        <v>1797.9200000000001</v>
      </c>
      <c r="J196" s="9">
        <v>0.070000000000000007</v>
      </c>
      <c r="K196" s="9">
        <v>231.93000000000001</v>
      </c>
      <c r="L196" s="9" t="s">
        <v>58</v>
      </c>
      <c r="M196" s="9" t="str">
        <f t="shared" si="0"/>
        <v>10-20%</v>
      </c>
    </row>
    <row r="197">
      <c r="A197" s="10">
        <v>45181</v>
      </c>
      <c r="B197" s="9" t="s">
        <v>271</v>
      </c>
      <c r="C197" s="9" t="s">
        <v>16</v>
      </c>
      <c r="D197" s="9" t="s">
        <v>10</v>
      </c>
      <c r="E197" s="9" t="s">
        <v>19</v>
      </c>
      <c r="F197" s="9" t="s">
        <v>62</v>
      </c>
      <c r="G197" s="9">
        <v>402.55000000000001</v>
      </c>
      <c r="H197" s="9">
        <v>3</v>
      </c>
      <c r="I197" s="9">
        <v>1207.6500000000001</v>
      </c>
      <c r="J197" s="9">
        <v>0.27000000000000002</v>
      </c>
      <c r="K197" s="9">
        <v>-150.56</v>
      </c>
      <c r="L197" s="9" t="s">
        <v>63</v>
      </c>
      <c r="M197" s="9" t="str">
        <f t="shared" si="0"/>
        <v>0-10%</v>
      </c>
    </row>
    <row r="198">
      <c r="A198" s="10">
        <v>45055</v>
      </c>
      <c r="B198" s="9" t="s">
        <v>272</v>
      </c>
      <c r="C198" s="9" t="s">
        <v>17</v>
      </c>
      <c r="D198" s="9" t="s">
        <v>9</v>
      </c>
      <c r="E198" s="9" t="s">
        <v>19</v>
      </c>
      <c r="F198" s="9" t="s">
        <v>67</v>
      </c>
      <c r="G198" s="9">
        <v>127.48999999999999</v>
      </c>
      <c r="H198" s="9">
        <v>4</v>
      </c>
      <c r="I198" s="9">
        <v>509.95999999999998</v>
      </c>
      <c r="J198" s="9">
        <v>0.12</v>
      </c>
      <c r="K198" s="9">
        <v>-22.359999999999999</v>
      </c>
      <c r="L198" s="9" t="s">
        <v>58</v>
      </c>
      <c r="M198" s="9" t="str">
        <f t="shared" si="0"/>
        <v>20%+</v>
      </c>
    </row>
    <row r="199">
      <c r="A199" s="10">
        <v>45055</v>
      </c>
      <c r="B199" s="9" t="s">
        <v>273</v>
      </c>
      <c r="C199" s="9" t="s">
        <v>15</v>
      </c>
      <c r="D199" s="9" t="s">
        <v>12</v>
      </c>
      <c r="E199" s="9" t="s">
        <v>22</v>
      </c>
      <c r="F199" s="9" t="s">
        <v>125</v>
      </c>
      <c r="G199" s="9">
        <v>390.80000000000001</v>
      </c>
      <c r="H199" s="9">
        <v>1</v>
      </c>
      <c r="I199" s="9">
        <v>390.80000000000001</v>
      </c>
      <c r="J199" s="9">
        <v>0.20000000000000001</v>
      </c>
      <c r="K199" s="9">
        <v>13.59</v>
      </c>
      <c r="L199" s="9" t="s">
        <v>58</v>
      </c>
      <c r="M199" s="9" t="str">
        <f t="shared" si="0"/>
        <v>10-20%</v>
      </c>
    </row>
    <row r="200">
      <c r="A200" s="10">
        <v>45280</v>
      </c>
      <c r="B200" s="9" t="s">
        <v>274</v>
      </c>
      <c r="C200" s="9" t="s">
        <v>14</v>
      </c>
      <c r="D200" s="9" t="s">
        <v>8</v>
      </c>
      <c r="E200" s="9" t="s">
        <v>22</v>
      </c>
      <c r="F200" s="9" t="s">
        <v>125</v>
      </c>
      <c r="G200" s="9">
        <v>393.98000000000002</v>
      </c>
      <c r="H200" s="9">
        <v>8</v>
      </c>
      <c r="I200" s="9">
        <v>3151.8400000000001</v>
      </c>
      <c r="J200" s="9">
        <v>0.22</v>
      </c>
      <c r="K200" s="9">
        <v>-268.92000000000002</v>
      </c>
      <c r="L200" s="9" t="s">
        <v>63</v>
      </c>
      <c r="M200" s="9" t="str">
        <f t="shared" si="0"/>
        <v>10-20%</v>
      </c>
    </row>
    <row r="201">
      <c r="A201" s="10">
        <v>45196</v>
      </c>
      <c r="B201" s="9" t="s">
        <v>275</v>
      </c>
      <c r="C201" s="9" t="s">
        <v>17</v>
      </c>
      <c r="D201" s="9" t="s">
        <v>11</v>
      </c>
      <c r="E201" s="9" t="s">
        <v>20</v>
      </c>
      <c r="F201" s="9" t="s">
        <v>65</v>
      </c>
      <c r="G201" s="9">
        <v>497.94999999999999</v>
      </c>
      <c r="H201" s="9">
        <v>8</v>
      </c>
      <c r="I201" s="9">
        <v>3983.5999999999999</v>
      </c>
      <c r="J201" s="9">
        <v>0.17999999999999999</v>
      </c>
      <c r="K201" s="9">
        <v>-74.799999999999997</v>
      </c>
      <c r="L201" s="9" t="s">
        <v>55</v>
      </c>
      <c r="M201" s="9" t="str">
        <f t="shared" si="0"/>
        <v>20%+</v>
      </c>
    </row>
    <row r="202">
      <c r="A202" s="10">
        <v>45215</v>
      </c>
      <c r="B202" s="9" t="s">
        <v>276</v>
      </c>
      <c r="C202" s="9" t="s">
        <v>16</v>
      </c>
      <c r="D202" s="9" t="s">
        <v>12</v>
      </c>
      <c r="E202" s="9" t="s">
        <v>19</v>
      </c>
      <c r="F202" s="9" t="s">
        <v>67</v>
      </c>
      <c r="G202" s="9">
        <v>488.68000000000001</v>
      </c>
      <c r="H202" s="9">
        <v>8</v>
      </c>
      <c r="I202" s="9">
        <v>3909.4400000000001</v>
      </c>
      <c r="J202" s="9">
        <v>0.26000000000000001</v>
      </c>
      <c r="K202" s="9">
        <v>-313.75999999999999</v>
      </c>
      <c r="L202" s="9" t="s">
        <v>58</v>
      </c>
      <c r="M202" s="9" t="str">
        <f t="shared" si="0"/>
        <v>10-20%</v>
      </c>
    </row>
    <row r="203">
      <c r="A203" s="10">
        <v>45197</v>
      </c>
      <c r="B203" s="9" t="s">
        <v>277</v>
      </c>
      <c r="C203" s="9" t="s">
        <v>16</v>
      </c>
      <c r="D203" s="9" t="s">
        <v>8</v>
      </c>
      <c r="E203" s="9" t="s">
        <v>21</v>
      </c>
      <c r="F203" s="9" t="s">
        <v>88</v>
      </c>
      <c r="G203" s="9">
        <v>482.24000000000001</v>
      </c>
      <c r="H203" s="9">
        <v>15</v>
      </c>
      <c r="I203" s="9">
        <v>7233.6000000000004</v>
      </c>
      <c r="J203" s="9">
        <v>0.27000000000000002</v>
      </c>
      <c r="K203" s="9">
        <v>-1492.22</v>
      </c>
      <c r="L203" s="9" t="s">
        <v>72</v>
      </c>
      <c r="M203" s="9" t="str">
        <f t="shared" si="0"/>
        <v>20%+</v>
      </c>
    </row>
    <row r="204">
      <c r="A204" s="10">
        <v>45287</v>
      </c>
      <c r="B204" s="9" t="s">
        <v>278</v>
      </c>
      <c r="C204" s="9" t="s">
        <v>14</v>
      </c>
      <c r="D204" s="9" t="s">
        <v>10</v>
      </c>
      <c r="E204" s="9" t="s">
        <v>19</v>
      </c>
      <c r="F204" s="9" t="s">
        <v>98</v>
      </c>
      <c r="G204" s="9">
        <v>153.97999999999999</v>
      </c>
      <c r="H204" s="9">
        <v>14</v>
      </c>
      <c r="I204" s="9">
        <v>2155.7199999999998</v>
      </c>
      <c r="J204" s="9">
        <v>0.17999999999999999</v>
      </c>
      <c r="K204" s="9">
        <v>0.76000000000000001</v>
      </c>
      <c r="L204" s="9" t="s">
        <v>63</v>
      </c>
      <c r="M204" s="9" t="str">
        <f t="shared" si="0"/>
        <v>20%+</v>
      </c>
    </row>
    <row r="205">
      <c r="A205" s="10">
        <v>45025</v>
      </c>
      <c r="B205" s="9" t="s">
        <v>279</v>
      </c>
      <c r="C205" s="9" t="s">
        <v>15</v>
      </c>
      <c r="D205" s="9" t="s">
        <v>8</v>
      </c>
      <c r="E205" s="9" t="s">
        <v>20</v>
      </c>
      <c r="F205" s="9" t="s">
        <v>101</v>
      </c>
      <c r="G205" s="9">
        <v>276.39999999999998</v>
      </c>
      <c r="H205" s="9">
        <v>5</v>
      </c>
      <c r="I205" s="9">
        <v>1382</v>
      </c>
      <c r="J205" s="9">
        <v>0.10000000000000001</v>
      </c>
      <c r="K205" s="9">
        <v>80.170000000000002</v>
      </c>
      <c r="L205" s="9" t="s">
        <v>55</v>
      </c>
      <c r="M205" s="9" t="str">
        <f t="shared" si="0"/>
        <v>10-20%</v>
      </c>
    </row>
    <row r="206">
      <c r="A206" s="10">
        <v>45188</v>
      </c>
      <c r="B206" s="9" t="s">
        <v>280</v>
      </c>
      <c r="C206" s="9" t="s">
        <v>15</v>
      </c>
      <c r="D206" s="9" t="s">
        <v>11</v>
      </c>
      <c r="E206" s="9" t="s">
        <v>20</v>
      </c>
      <c r="F206" s="9" t="s">
        <v>69</v>
      </c>
      <c r="G206" s="9">
        <v>121.83</v>
      </c>
      <c r="H206" s="9">
        <v>10</v>
      </c>
      <c r="I206" s="9">
        <v>1218.3</v>
      </c>
      <c r="J206" s="9">
        <v>0.22</v>
      </c>
      <c r="K206" s="9">
        <v>-98.239999999999995</v>
      </c>
      <c r="L206" s="9" t="s">
        <v>55</v>
      </c>
      <c r="M206" s="9" t="str">
        <f t="shared" si="0"/>
        <v>0-10%</v>
      </c>
    </row>
    <row r="207">
      <c r="A207" s="10">
        <v>45184</v>
      </c>
      <c r="B207" s="9" t="s">
        <v>281</v>
      </c>
      <c r="C207" s="9" t="s">
        <v>17</v>
      </c>
      <c r="D207" s="9" t="s">
        <v>9</v>
      </c>
      <c r="E207" s="9" t="s">
        <v>22</v>
      </c>
      <c r="F207" s="9" t="s">
        <v>110</v>
      </c>
      <c r="G207" s="9">
        <v>408.47000000000003</v>
      </c>
      <c r="H207" s="9">
        <v>12</v>
      </c>
      <c r="I207" s="9">
        <v>4901.6400000000003</v>
      </c>
      <c r="J207" s="9">
        <v>0.20000000000000001</v>
      </c>
      <c r="K207" s="9">
        <v>-627.55999999999995</v>
      </c>
      <c r="L207" s="9" t="s">
        <v>63</v>
      </c>
      <c r="M207" s="9" t="str">
        <f t="shared" si="0"/>
        <v>20%+</v>
      </c>
    </row>
    <row r="208">
      <c r="A208" s="10">
        <v>45252</v>
      </c>
      <c r="B208" s="9" t="s">
        <v>282</v>
      </c>
      <c r="C208" s="9" t="s">
        <v>14</v>
      </c>
      <c r="D208" s="9" t="s">
        <v>11</v>
      </c>
      <c r="E208" s="9" t="s">
        <v>22</v>
      </c>
      <c r="F208" s="9" t="s">
        <v>110</v>
      </c>
      <c r="G208" s="9">
        <v>85.090000000000003</v>
      </c>
      <c r="H208" s="9">
        <v>13</v>
      </c>
      <c r="I208" s="9">
        <v>1106.1700000000001</v>
      </c>
      <c r="J208" s="9">
        <v>0.28000000000000003</v>
      </c>
      <c r="K208" s="9">
        <v>-146.63999999999999</v>
      </c>
      <c r="L208" s="9" t="s">
        <v>58</v>
      </c>
      <c r="M208" s="9" t="str">
        <f t="shared" si="0"/>
        <v>10-20%</v>
      </c>
    </row>
    <row r="209">
      <c r="A209" s="10">
        <v>45212</v>
      </c>
      <c r="B209" s="9" t="s">
        <v>283</v>
      </c>
      <c r="C209" s="9" t="s">
        <v>14</v>
      </c>
      <c r="D209" s="9" t="s">
        <v>10</v>
      </c>
      <c r="E209" s="9" t="s">
        <v>20</v>
      </c>
      <c r="F209" s="9" t="s">
        <v>74</v>
      </c>
      <c r="G209" s="9">
        <v>240.84</v>
      </c>
      <c r="H209" s="9">
        <v>14</v>
      </c>
      <c r="I209" s="9">
        <v>3371.7600000000002</v>
      </c>
      <c r="J209" s="9">
        <v>0.20999999999999999</v>
      </c>
      <c r="K209" s="9">
        <v>-404.32999999999998</v>
      </c>
      <c r="L209" s="9" t="s">
        <v>72</v>
      </c>
      <c r="M209" s="9" t="str">
        <f t="shared" si="0"/>
        <v>20%+</v>
      </c>
    </row>
    <row r="210">
      <c r="A210" s="10">
        <v>45030</v>
      </c>
      <c r="B210" s="9" t="s">
        <v>284</v>
      </c>
      <c r="C210" s="9" t="s">
        <v>16</v>
      </c>
      <c r="D210" s="9" t="s">
        <v>10</v>
      </c>
      <c r="E210" s="9" t="s">
        <v>21</v>
      </c>
      <c r="F210" s="9" t="s">
        <v>78</v>
      </c>
      <c r="G210" s="9">
        <v>195.69999999999999</v>
      </c>
      <c r="H210" s="9">
        <v>10</v>
      </c>
      <c r="I210" s="9">
        <v>1957</v>
      </c>
      <c r="J210" s="9">
        <v>0.029999999999999999</v>
      </c>
      <c r="K210" s="9">
        <v>330.30000000000001</v>
      </c>
      <c r="L210" s="9" t="s">
        <v>72</v>
      </c>
      <c r="M210" s="9" t="str">
        <f t="shared" si="0"/>
        <v>20%+</v>
      </c>
    </row>
    <row r="211">
      <c r="A211" s="10">
        <v>45277</v>
      </c>
      <c r="B211" s="9" t="s">
        <v>285</v>
      </c>
      <c r="C211" s="9" t="s">
        <v>16</v>
      </c>
      <c r="D211" s="9" t="s">
        <v>10</v>
      </c>
      <c r="E211" s="9" t="s">
        <v>21</v>
      </c>
      <c r="F211" s="9" t="s">
        <v>76</v>
      </c>
      <c r="G211" s="9">
        <v>376.19</v>
      </c>
      <c r="H211" s="9">
        <v>3</v>
      </c>
      <c r="I211" s="9">
        <v>1128.5699999999999</v>
      </c>
      <c r="J211" s="9">
        <v>0.01</v>
      </c>
      <c r="K211" s="9">
        <v>202.55000000000001</v>
      </c>
      <c r="L211" s="9" t="s">
        <v>63</v>
      </c>
      <c r="M211" s="9" t="str">
        <f t="shared" si="0"/>
        <v>0-10%</v>
      </c>
    </row>
    <row r="212">
      <c r="A212" s="10">
        <v>45241</v>
      </c>
      <c r="B212" s="9" t="s">
        <v>286</v>
      </c>
      <c r="C212" s="9" t="s">
        <v>14</v>
      </c>
      <c r="D212" s="9" t="s">
        <v>10</v>
      </c>
      <c r="E212" s="9" t="s">
        <v>22</v>
      </c>
      <c r="F212" s="9" t="s">
        <v>54</v>
      </c>
      <c r="G212" s="9">
        <v>17.5</v>
      </c>
      <c r="H212" s="9">
        <v>6</v>
      </c>
      <c r="I212" s="9">
        <v>105</v>
      </c>
      <c r="J212" s="9">
        <v>0</v>
      </c>
      <c r="K212" s="9">
        <v>6.0800000000000001</v>
      </c>
      <c r="L212" s="9" t="s">
        <v>63</v>
      </c>
      <c r="M212" s="9" t="str">
        <f t="shared" si="0"/>
        <v>0-10%</v>
      </c>
    </row>
    <row r="213">
      <c r="A213" s="10">
        <v>45116</v>
      </c>
      <c r="B213" s="9" t="s">
        <v>287</v>
      </c>
      <c r="C213" s="9" t="s">
        <v>16</v>
      </c>
      <c r="D213" s="9" t="s">
        <v>12</v>
      </c>
      <c r="E213" s="9" t="s">
        <v>19</v>
      </c>
      <c r="F213" s="9" t="s">
        <v>60</v>
      </c>
      <c r="G213" s="9">
        <v>50.229999999999997</v>
      </c>
      <c r="H213" s="9">
        <v>13</v>
      </c>
      <c r="I213" s="9">
        <v>652.99000000000001</v>
      </c>
      <c r="J213" s="9">
        <v>0.16</v>
      </c>
      <c r="K213" s="9">
        <v>-64.489999999999995</v>
      </c>
      <c r="L213" s="9" t="s">
        <v>55</v>
      </c>
      <c r="M213" s="9" t="str">
        <f t="shared" si="0"/>
        <v>0-10%</v>
      </c>
    </row>
    <row r="214">
      <c r="A214" s="10">
        <v>45078</v>
      </c>
      <c r="B214" s="9" t="s">
        <v>288</v>
      </c>
      <c r="C214" s="9" t="s">
        <v>17</v>
      </c>
      <c r="D214" s="9" t="s">
        <v>12</v>
      </c>
      <c r="E214" s="9" t="s">
        <v>20</v>
      </c>
      <c r="F214" s="9" t="s">
        <v>74</v>
      </c>
      <c r="G214" s="9">
        <v>470.68000000000001</v>
      </c>
      <c r="H214" s="9">
        <v>4</v>
      </c>
      <c r="I214" s="9">
        <v>1882.72</v>
      </c>
      <c r="J214" s="9">
        <v>0.02</v>
      </c>
      <c r="K214" s="9">
        <v>393.77999999999997</v>
      </c>
      <c r="L214" s="9" t="s">
        <v>63</v>
      </c>
      <c r="M214" s="9" t="str">
        <f t="shared" si="0"/>
        <v>10-20%</v>
      </c>
    </row>
    <row r="215">
      <c r="A215" s="10">
        <v>45289</v>
      </c>
      <c r="B215" s="9" t="s">
        <v>289</v>
      </c>
      <c r="C215" s="9" t="s">
        <v>15</v>
      </c>
      <c r="D215" s="9" t="s">
        <v>12</v>
      </c>
      <c r="E215" s="9" t="s">
        <v>22</v>
      </c>
      <c r="F215" s="9" t="s">
        <v>125</v>
      </c>
      <c r="G215" s="9">
        <v>271.63999999999999</v>
      </c>
      <c r="H215" s="9">
        <v>2</v>
      </c>
      <c r="I215" s="9">
        <v>543.27999999999997</v>
      </c>
      <c r="J215" s="9">
        <v>0.029999999999999999</v>
      </c>
      <c r="K215" s="9">
        <v>111.75</v>
      </c>
      <c r="L215" s="9" t="s">
        <v>58</v>
      </c>
      <c r="M215" s="9" t="str">
        <f t="shared" si="0"/>
        <v>0-10%</v>
      </c>
    </row>
    <row r="216">
      <c r="A216" s="10">
        <v>45041</v>
      </c>
      <c r="B216" s="9" t="s">
        <v>290</v>
      </c>
      <c r="C216" s="9" t="s">
        <v>17</v>
      </c>
      <c r="D216" s="9" t="s">
        <v>8</v>
      </c>
      <c r="E216" s="9" t="s">
        <v>20</v>
      </c>
      <c r="F216" s="9" t="s">
        <v>69</v>
      </c>
      <c r="G216" s="9">
        <v>299.36000000000001</v>
      </c>
      <c r="H216" s="9">
        <v>3</v>
      </c>
      <c r="I216" s="9">
        <v>898.08000000000004</v>
      </c>
      <c r="J216" s="9">
        <v>0.029999999999999999</v>
      </c>
      <c r="K216" s="9">
        <v>148.94999999999999</v>
      </c>
      <c r="L216" s="9" t="s">
        <v>58</v>
      </c>
      <c r="M216" s="9" t="str">
        <f t="shared" si="0"/>
        <v>0-10%</v>
      </c>
    </row>
    <row r="217">
      <c r="A217" s="10">
        <v>45074</v>
      </c>
      <c r="B217" s="9" t="s">
        <v>291</v>
      </c>
      <c r="C217" s="9" t="s">
        <v>16</v>
      </c>
      <c r="D217" s="9" t="s">
        <v>9</v>
      </c>
      <c r="E217" s="9" t="s">
        <v>19</v>
      </c>
      <c r="F217" s="9" t="s">
        <v>98</v>
      </c>
      <c r="G217" s="9">
        <v>58.859999999999999</v>
      </c>
      <c r="H217" s="9">
        <v>5</v>
      </c>
      <c r="I217" s="9">
        <v>294.30000000000001</v>
      </c>
      <c r="J217" s="9">
        <v>0.01</v>
      </c>
      <c r="K217" s="9">
        <v>60.170000000000002</v>
      </c>
      <c r="L217" s="9" t="s">
        <v>63</v>
      </c>
      <c r="M217" s="9" t="str">
        <f t="shared" si="0"/>
        <v>0-10%</v>
      </c>
    </row>
    <row r="218">
      <c r="A218" s="10">
        <v>45269</v>
      </c>
      <c r="B218" s="9" t="s">
        <v>292</v>
      </c>
      <c r="C218" s="9" t="s">
        <v>16</v>
      </c>
      <c r="D218" s="9" t="s">
        <v>8</v>
      </c>
      <c r="E218" s="9" t="s">
        <v>19</v>
      </c>
      <c r="F218" s="9" t="s">
        <v>62</v>
      </c>
      <c r="G218" s="9">
        <v>346.07999999999998</v>
      </c>
      <c r="H218" s="9">
        <v>4</v>
      </c>
      <c r="I218" s="9">
        <v>1384.3199999999999</v>
      </c>
      <c r="J218" s="9">
        <v>0.089999999999999997</v>
      </c>
      <c r="K218" s="9">
        <v>50.579999999999998</v>
      </c>
      <c r="L218" s="9" t="s">
        <v>72</v>
      </c>
      <c r="M218" s="9" t="str">
        <f t="shared" si="0"/>
        <v>0-10%</v>
      </c>
    </row>
    <row r="219">
      <c r="A219" s="10">
        <v>45253</v>
      </c>
      <c r="B219" s="9" t="s">
        <v>293</v>
      </c>
      <c r="C219" s="9" t="s">
        <v>15</v>
      </c>
      <c r="D219" s="9" t="s">
        <v>8</v>
      </c>
      <c r="E219" s="9" t="s">
        <v>19</v>
      </c>
      <c r="F219" s="9" t="s">
        <v>62</v>
      </c>
      <c r="G219" s="9">
        <v>302.27999999999997</v>
      </c>
      <c r="H219" s="9">
        <v>6</v>
      </c>
      <c r="I219" s="9">
        <v>1813.6800000000001</v>
      </c>
      <c r="J219" s="9">
        <v>0.01</v>
      </c>
      <c r="K219" s="9">
        <v>173.19</v>
      </c>
      <c r="L219" s="9" t="s">
        <v>63</v>
      </c>
      <c r="M219" s="9" t="str">
        <f t="shared" si="0"/>
        <v>0-10%</v>
      </c>
    </row>
    <row r="220">
      <c r="A220" s="10">
        <v>44956</v>
      </c>
      <c r="B220" s="9" t="s">
        <v>294</v>
      </c>
      <c r="C220" s="9" t="s">
        <v>14</v>
      </c>
      <c r="D220" s="9" t="s">
        <v>9</v>
      </c>
      <c r="E220" s="9" t="s">
        <v>21</v>
      </c>
      <c r="F220" s="9" t="s">
        <v>88</v>
      </c>
      <c r="G220" s="9">
        <v>499.37</v>
      </c>
      <c r="H220" s="9">
        <v>5</v>
      </c>
      <c r="I220" s="9">
        <v>2496.8499999999999</v>
      </c>
      <c r="J220" s="9">
        <v>0.27000000000000002</v>
      </c>
      <c r="K220" s="9">
        <v>-503.44</v>
      </c>
      <c r="L220" s="9" t="s">
        <v>63</v>
      </c>
      <c r="M220" s="9" t="str">
        <f t="shared" si="0"/>
        <v>0-10%</v>
      </c>
    </row>
    <row r="221">
      <c r="A221" s="10">
        <v>45267</v>
      </c>
      <c r="B221" s="9" t="s">
        <v>295</v>
      </c>
      <c r="C221" s="9" t="s">
        <v>16</v>
      </c>
      <c r="D221" s="9" t="s">
        <v>8</v>
      </c>
      <c r="E221" s="9" t="s">
        <v>22</v>
      </c>
      <c r="F221" s="9" t="s">
        <v>125</v>
      </c>
      <c r="G221" s="9">
        <v>467.13</v>
      </c>
      <c r="H221" s="9">
        <v>15</v>
      </c>
      <c r="I221" s="9">
        <v>7006.9499999999998</v>
      </c>
      <c r="J221" s="9">
        <v>0.29999999999999999</v>
      </c>
      <c r="K221" s="9">
        <v>-553.23000000000002</v>
      </c>
      <c r="L221" s="9" t="s">
        <v>58</v>
      </c>
      <c r="M221" s="9" t="str">
        <f t="shared" si="0"/>
        <v>20%+</v>
      </c>
    </row>
    <row r="222">
      <c r="A222" s="10">
        <v>45263</v>
      </c>
      <c r="B222" s="9" t="s">
        <v>296</v>
      </c>
      <c r="C222" s="9" t="s">
        <v>15</v>
      </c>
      <c r="D222" s="9" t="s">
        <v>10</v>
      </c>
      <c r="E222" s="9" t="s">
        <v>22</v>
      </c>
      <c r="F222" s="9" t="s">
        <v>71</v>
      </c>
      <c r="G222" s="9">
        <v>103.45</v>
      </c>
      <c r="H222" s="9">
        <v>14</v>
      </c>
      <c r="I222" s="9">
        <v>1448.3</v>
      </c>
      <c r="J222" s="9">
        <v>0.17999999999999999</v>
      </c>
      <c r="K222" s="9">
        <v>89.140000000000001</v>
      </c>
      <c r="L222" s="9" t="s">
        <v>72</v>
      </c>
      <c r="M222" s="9" t="str">
        <f t="shared" si="0"/>
        <v>20%+</v>
      </c>
    </row>
    <row r="223">
      <c r="A223" s="10">
        <v>44981</v>
      </c>
      <c r="B223" s="9" t="s">
        <v>297</v>
      </c>
      <c r="C223" s="9" t="s">
        <v>14</v>
      </c>
      <c r="D223" s="9" t="s">
        <v>11</v>
      </c>
      <c r="E223" s="9" t="s">
        <v>22</v>
      </c>
      <c r="F223" s="9" t="s">
        <v>71</v>
      </c>
      <c r="G223" s="9">
        <v>402.29000000000002</v>
      </c>
      <c r="H223" s="9">
        <v>4</v>
      </c>
      <c r="I223" s="9">
        <v>1609.1600000000001</v>
      </c>
      <c r="J223" s="9">
        <v>0.23999999999999999</v>
      </c>
      <c r="K223" s="9">
        <v>-192.63999999999999</v>
      </c>
      <c r="L223" s="9" t="s">
        <v>58</v>
      </c>
      <c r="M223" s="9" t="str">
        <f t="shared" si="0"/>
        <v>10-20%</v>
      </c>
    </row>
    <row r="224">
      <c r="A224" s="10">
        <v>45125</v>
      </c>
      <c r="B224" s="9" t="s">
        <v>298</v>
      </c>
      <c r="C224" s="9" t="s">
        <v>16</v>
      </c>
      <c r="D224" s="9" t="s">
        <v>8</v>
      </c>
      <c r="E224" s="9" t="s">
        <v>19</v>
      </c>
      <c r="F224" s="9" t="s">
        <v>57</v>
      </c>
      <c r="G224" s="9">
        <v>150.28</v>
      </c>
      <c r="H224" s="9">
        <v>9</v>
      </c>
      <c r="I224" s="9">
        <v>1352.52</v>
      </c>
      <c r="J224" s="9">
        <v>0.050000000000000003</v>
      </c>
      <c r="K224" s="9">
        <v>167.33000000000001</v>
      </c>
      <c r="L224" s="9" t="s">
        <v>63</v>
      </c>
      <c r="M224" s="9" t="str">
        <f t="shared" si="0"/>
        <v>20%+</v>
      </c>
    </row>
    <row r="225">
      <c r="A225" s="10">
        <v>45196</v>
      </c>
      <c r="B225" s="9" t="s">
        <v>299</v>
      </c>
      <c r="C225" s="9" t="s">
        <v>16</v>
      </c>
      <c r="D225" s="9" t="s">
        <v>10</v>
      </c>
      <c r="E225" s="9" t="s">
        <v>20</v>
      </c>
      <c r="F225" s="9" t="s">
        <v>69</v>
      </c>
      <c r="G225" s="9">
        <v>398.72000000000003</v>
      </c>
      <c r="H225" s="9">
        <v>14</v>
      </c>
      <c r="I225" s="9">
        <v>5582.0799999999999</v>
      </c>
      <c r="J225" s="9">
        <v>0.17000000000000001</v>
      </c>
      <c r="K225" s="9">
        <v>50.43</v>
      </c>
      <c r="L225" s="9" t="s">
        <v>55</v>
      </c>
      <c r="M225" s="9" t="str">
        <f t="shared" si="0"/>
        <v>0-10%</v>
      </c>
    </row>
    <row r="226">
      <c r="A226" s="10">
        <v>45083</v>
      </c>
      <c r="B226" s="9" t="s">
        <v>300</v>
      </c>
      <c r="C226" s="9" t="s">
        <v>16</v>
      </c>
      <c r="D226" s="9" t="s">
        <v>8</v>
      </c>
      <c r="E226" s="9" t="s">
        <v>22</v>
      </c>
      <c r="F226" s="9" t="s">
        <v>71</v>
      </c>
      <c r="G226" s="9">
        <v>378.20999999999998</v>
      </c>
      <c r="H226" s="9">
        <v>13</v>
      </c>
      <c r="I226" s="9">
        <v>4916.7299999999996</v>
      </c>
      <c r="J226" s="9">
        <v>0.28999999999999998</v>
      </c>
      <c r="K226" s="9">
        <v>-1035.3</v>
      </c>
      <c r="L226" s="9" t="s">
        <v>72</v>
      </c>
      <c r="M226" s="9" t="str">
        <f t="shared" si="0"/>
        <v>10-20%</v>
      </c>
    </row>
    <row r="227">
      <c r="A227" s="10">
        <v>44998</v>
      </c>
      <c r="B227" s="9" t="s">
        <v>301</v>
      </c>
      <c r="C227" s="9" t="s">
        <v>14</v>
      </c>
      <c r="D227" s="9" t="s">
        <v>8</v>
      </c>
      <c r="E227" s="9" t="s">
        <v>21</v>
      </c>
      <c r="F227" s="9" t="s">
        <v>76</v>
      </c>
      <c r="G227" s="9">
        <v>156.88</v>
      </c>
      <c r="H227" s="9">
        <v>8</v>
      </c>
      <c r="I227" s="9">
        <v>1255.04</v>
      </c>
      <c r="J227" s="9">
        <v>0.16</v>
      </c>
      <c r="K227" s="9">
        <v>-89.019999999999996</v>
      </c>
      <c r="L227" s="9" t="s">
        <v>55</v>
      </c>
      <c r="M227" s="9" t="str">
        <f t="shared" si="0"/>
        <v>20%+</v>
      </c>
    </row>
    <row r="228">
      <c r="A228" s="10">
        <v>45146</v>
      </c>
      <c r="B228" s="9" t="s">
        <v>302</v>
      </c>
      <c r="C228" s="9" t="s">
        <v>17</v>
      </c>
      <c r="D228" s="9" t="s">
        <v>9</v>
      </c>
      <c r="E228" s="9" t="s">
        <v>21</v>
      </c>
      <c r="F228" s="9" t="s">
        <v>82</v>
      </c>
      <c r="G228" s="9">
        <v>43.799999999999997</v>
      </c>
      <c r="H228" s="9">
        <v>15</v>
      </c>
      <c r="I228" s="9">
        <v>657</v>
      </c>
      <c r="J228" s="9">
        <v>0.28000000000000003</v>
      </c>
      <c r="K228" s="9">
        <v>-36.840000000000003</v>
      </c>
      <c r="L228" s="9" t="s">
        <v>72</v>
      </c>
      <c r="M228" s="9" t="str">
        <f t="shared" si="0"/>
        <v>10-20%</v>
      </c>
    </row>
    <row r="229">
      <c r="A229" s="10">
        <v>45254</v>
      </c>
      <c r="B229" s="9" t="s">
        <v>303</v>
      </c>
      <c r="C229" s="9" t="s">
        <v>16</v>
      </c>
      <c r="D229" s="9" t="s">
        <v>9</v>
      </c>
      <c r="E229" s="9" t="s">
        <v>19</v>
      </c>
      <c r="F229" s="9" t="s">
        <v>57</v>
      </c>
      <c r="G229" s="9">
        <v>249.33000000000001</v>
      </c>
      <c r="H229" s="9">
        <v>6</v>
      </c>
      <c r="I229" s="9">
        <v>1495.98</v>
      </c>
      <c r="J229" s="9">
        <v>0.10000000000000001</v>
      </c>
      <c r="K229" s="9">
        <v>215.94</v>
      </c>
      <c r="L229" s="9" t="s">
        <v>63</v>
      </c>
      <c r="M229" s="9" t="str">
        <f t="shared" si="0"/>
        <v>20%+</v>
      </c>
    </row>
    <row r="230">
      <c r="A230" s="10">
        <v>45284</v>
      </c>
      <c r="B230" s="9" t="s">
        <v>304</v>
      </c>
      <c r="C230" s="9" t="s">
        <v>14</v>
      </c>
      <c r="D230" s="9" t="s">
        <v>9</v>
      </c>
      <c r="E230" s="9" t="s">
        <v>19</v>
      </c>
      <c r="F230" s="9" t="s">
        <v>67</v>
      </c>
      <c r="G230" s="9">
        <v>489.16000000000003</v>
      </c>
      <c r="H230" s="9">
        <v>15</v>
      </c>
      <c r="I230" s="9">
        <v>7337.3999999999996</v>
      </c>
      <c r="J230" s="9">
        <v>0.20000000000000001</v>
      </c>
      <c r="K230" s="9">
        <v>298.22000000000003</v>
      </c>
      <c r="L230" s="9" t="s">
        <v>58</v>
      </c>
      <c r="M230" s="9" t="str">
        <f t="shared" si="0"/>
        <v>0-10%</v>
      </c>
    </row>
    <row r="231">
      <c r="A231" s="10">
        <v>44994</v>
      </c>
      <c r="B231" s="9" t="s">
        <v>305</v>
      </c>
      <c r="C231" s="9" t="s">
        <v>17</v>
      </c>
      <c r="D231" s="9" t="s">
        <v>8</v>
      </c>
      <c r="E231" s="9" t="s">
        <v>22</v>
      </c>
      <c r="F231" s="9" t="s">
        <v>125</v>
      </c>
      <c r="G231" s="9">
        <v>388.81999999999999</v>
      </c>
      <c r="H231" s="9">
        <v>10</v>
      </c>
      <c r="I231" s="9">
        <v>3888.1999999999998</v>
      </c>
      <c r="J231" s="9">
        <v>0.20000000000000001</v>
      </c>
      <c r="K231" s="9">
        <v>-424.44</v>
      </c>
      <c r="L231" s="9" t="s">
        <v>72</v>
      </c>
      <c r="M231" s="9" t="str">
        <f t="shared" si="0"/>
        <v>10-20%</v>
      </c>
    </row>
    <row r="232">
      <c r="A232" s="10">
        <v>45139</v>
      </c>
      <c r="B232" s="9" t="s">
        <v>306</v>
      </c>
      <c r="C232" s="9" t="s">
        <v>16</v>
      </c>
      <c r="D232" s="9" t="s">
        <v>11</v>
      </c>
      <c r="E232" s="9" t="s">
        <v>22</v>
      </c>
      <c r="F232" s="9" t="s">
        <v>54</v>
      </c>
      <c r="G232" s="9">
        <v>447.93000000000001</v>
      </c>
      <c r="H232" s="9">
        <v>8</v>
      </c>
      <c r="I232" s="9">
        <v>3583.4400000000001</v>
      </c>
      <c r="J232" s="9">
        <v>0.14000000000000001</v>
      </c>
      <c r="K232" s="9">
        <v>354.33999999999997</v>
      </c>
      <c r="L232" s="9" t="s">
        <v>63</v>
      </c>
      <c r="M232" s="9" t="str">
        <f t="shared" si="0"/>
        <v>10-20%</v>
      </c>
    </row>
    <row r="233">
      <c r="A233" s="10">
        <v>45178</v>
      </c>
      <c r="B233" s="9" t="s">
        <v>307</v>
      </c>
      <c r="C233" s="9" t="s">
        <v>17</v>
      </c>
      <c r="D233" s="9" t="s">
        <v>9</v>
      </c>
      <c r="E233" s="9" t="s">
        <v>22</v>
      </c>
      <c r="F233" s="9" t="s">
        <v>54</v>
      </c>
      <c r="G233" s="9">
        <v>82.019999999999996</v>
      </c>
      <c r="H233" s="9">
        <v>5</v>
      </c>
      <c r="I233" s="9">
        <v>410.10000000000002</v>
      </c>
      <c r="J233" s="9">
        <v>0.16</v>
      </c>
      <c r="K233" s="9">
        <v>23.969999999999999</v>
      </c>
      <c r="L233" s="9" t="s">
        <v>55</v>
      </c>
      <c r="M233" s="9" t="str">
        <f t="shared" si="0"/>
        <v>10-20%</v>
      </c>
    </row>
    <row r="234">
      <c r="A234" s="10">
        <v>45068</v>
      </c>
      <c r="B234" s="9" t="s">
        <v>308</v>
      </c>
      <c r="C234" s="9" t="s">
        <v>14</v>
      </c>
      <c r="D234" s="9" t="s">
        <v>9</v>
      </c>
      <c r="E234" s="9" t="s">
        <v>22</v>
      </c>
      <c r="F234" s="9" t="s">
        <v>84</v>
      </c>
      <c r="G234" s="9">
        <v>233.72999999999999</v>
      </c>
      <c r="H234" s="9">
        <v>6</v>
      </c>
      <c r="I234" s="9">
        <v>1402.3800000000001</v>
      </c>
      <c r="J234" s="9">
        <v>0.070000000000000007</v>
      </c>
      <c r="K234" s="9">
        <v>229.84</v>
      </c>
      <c r="L234" s="9" t="s">
        <v>72</v>
      </c>
      <c r="M234" s="9" t="str">
        <f t="shared" si="0"/>
        <v>10-20%</v>
      </c>
    </row>
    <row r="235">
      <c r="A235" s="10">
        <v>45072</v>
      </c>
      <c r="B235" s="9" t="s">
        <v>309</v>
      </c>
      <c r="C235" s="9" t="s">
        <v>14</v>
      </c>
      <c r="D235" s="9" t="s">
        <v>8</v>
      </c>
      <c r="E235" s="9" t="s">
        <v>21</v>
      </c>
      <c r="F235" s="9" t="s">
        <v>76</v>
      </c>
      <c r="G235" s="9">
        <v>222.83000000000001</v>
      </c>
      <c r="H235" s="9">
        <v>2</v>
      </c>
      <c r="I235" s="9">
        <v>445.66000000000003</v>
      </c>
      <c r="J235" s="9">
        <v>0.28000000000000003</v>
      </c>
      <c r="K235" s="9">
        <v>-52.68</v>
      </c>
      <c r="L235" s="9" t="s">
        <v>55</v>
      </c>
      <c r="M235" s="9" t="str">
        <f t="shared" si="0"/>
        <v>0-10%</v>
      </c>
    </row>
    <row r="236">
      <c r="A236" s="10">
        <v>45286</v>
      </c>
      <c r="B236" s="9" t="s">
        <v>310</v>
      </c>
      <c r="C236" s="9" t="s">
        <v>16</v>
      </c>
      <c r="D236" s="9" t="s">
        <v>8</v>
      </c>
      <c r="E236" s="9" t="s">
        <v>20</v>
      </c>
      <c r="F236" s="9" t="s">
        <v>69</v>
      </c>
      <c r="G236" s="9">
        <v>156.72999999999999</v>
      </c>
      <c r="H236" s="9">
        <v>10</v>
      </c>
      <c r="I236" s="9">
        <v>1567.3</v>
      </c>
      <c r="J236" s="9">
        <v>0.23000000000000001</v>
      </c>
      <c r="K236" s="9">
        <v>-142.84999999999999</v>
      </c>
      <c r="L236" s="9" t="s">
        <v>55</v>
      </c>
      <c r="M236" s="9" t="str">
        <f t="shared" si="0"/>
        <v>20%+</v>
      </c>
    </row>
    <row r="237">
      <c r="A237" s="10">
        <v>45209</v>
      </c>
      <c r="B237" s="9" t="s">
        <v>311</v>
      </c>
      <c r="C237" s="9" t="s">
        <v>14</v>
      </c>
      <c r="D237" s="9" t="s">
        <v>12</v>
      </c>
      <c r="E237" s="9" t="s">
        <v>19</v>
      </c>
      <c r="F237" s="9" t="s">
        <v>98</v>
      </c>
      <c r="G237" s="9">
        <v>465.27999999999997</v>
      </c>
      <c r="H237" s="9">
        <v>7</v>
      </c>
      <c r="I237" s="9">
        <v>3256.96</v>
      </c>
      <c r="J237" s="9">
        <v>0.26000000000000001</v>
      </c>
      <c r="K237" s="9">
        <v>-397.56</v>
      </c>
      <c r="L237" s="9" t="s">
        <v>58</v>
      </c>
      <c r="M237" s="9" t="str">
        <f t="shared" si="0"/>
        <v>20%+</v>
      </c>
    </row>
    <row r="238">
      <c r="A238" s="10">
        <v>44980</v>
      </c>
      <c r="B238" s="9" t="s">
        <v>312</v>
      </c>
      <c r="C238" s="9" t="s">
        <v>15</v>
      </c>
      <c r="D238" s="9" t="s">
        <v>8</v>
      </c>
      <c r="E238" s="9" t="s">
        <v>21</v>
      </c>
      <c r="F238" s="9" t="s">
        <v>78</v>
      </c>
      <c r="G238" s="9">
        <v>106.88</v>
      </c>
      <c r="H238" s="9">
        <v>15</v>
      </c>
      <c r="I238" s="9">
        <v>1603.2</v>
      </c>
      <c r="J238" s="9">
        <v>0.14999999999999999</v>
      </c>
      <c r="K238" s="9">
        <v>27.649999999999999</v>
      </c>
      <c r="L238" s="9" t="s">
        <v>55</v>
      </c>
      <c r="M238" s="9" t="str">
        <f t="shared" si="0"/>
        <v>20%+</v>
      </c>
    </row>
    <row r="239">
      <c r="A239" s="10">
        <v>45100</v>
      </c>
      <c r="B239" s="9" t="s">
        <v>313</v>
      </c>
      <c r="C239" s="9" t="s">
        <v>15</v>
      </c>
      <c r="D239" s="9" t="s">
        <v>9</v>
      </c>
      <c r="E239" s="9" t="s">
        <v>21</v>
      </c>
      <c r="F239" s="9" t="s">
        <v>76</v>
      </c>
      <c r="G239" s="9">
        <v>45.090000000000003</v>
      </c>
      <c r="H239" s="9">
        <v>3</v>
      </c>
      <c r="I239" s="9">
        <v>135.27000000000001</v>
      </c>
      <c r="J239" s="9">
        <v>0</v>
      </c>
      <c r="K239" s="9">
        <v>19.010000000000002</v>
      </c>
      <c r="L239" s="9" t="s">
        <v>72</v>
      </c>
      <c r="M239" s="9" t="str">
        <f t="shared" si="0"/>
        <v>10-20%</v>
      </c>
    </row>
    <row r="240">
      <c r="A240" s="10">
        <v>44956</v>
      </c>
      <c r="B240" s="9" t="s">
        <v>314</v>
      </c>
      <c r="C240" s="9" t="s">
        <v>16</v>
      </c>
      <c r="D240" s="9" t="s">
        <v>12</v>
      </c>
      <c r="E240" s="9" t="s">
        <v>19</v>
      </c>
      <c r="F240" s="9" t="s">
        <v>98</v>
      </c>
      <c r="G240" s="9">
        <v>192.18000000000001</v>
      </c>
      <c r="H240" s="9">
        <v>1</v>
      </c>
      <c r="I240" s="9">
        <v>192.18000000000001</v>
      </c>
      <c r="J240" s="9">
        <v>0</v>
      </c>
      <c r="K240" s="9">
        <v>32.979999999999997</v>
      </c>
      <c r="L240" s="9" t="s">
        <v>55</v>
      </c>
      <c r="M240" s="9" t="str">
        <f t="shared" si="0"/>
        <v>0-10%</v>
      </c>
    </row>
    <row r="241">
      <c r="A241" s="10">
        <v>45022</v>
      </c>
      <c r="B241" s="9" t="s">
        <v>315</v>
      </c>
      <c r="C241" s="9" t="s">
        <v>15</v>
      </c>
      <c r="D241" s="9" t="s">
        <v>11</v>
      </c>
      <c r="E241" s="9" t="s">
        <v>20</v>
      </c>
      <c r="F241" s="9" t="s">
        <v>65</v>
      </c>
      <c r="G241" s="9">
        <v>213.34999999999999</v>
      </c>
      <c r="H241" s="9">
        <v>11</v>
      </c>
      <c r="I241" s="9">
        <v>2346.8499999999999</v>
      </c>
      <c r="J241" s="9">
        <v>0.14999999999999999</v>
      </c>
      <c r="K241" s="9">
        <v>6.3700000000000001</v>
      </c>
      <c r="L241" s="9" t="s">
        <v>63</v>
      </c>
      <c r="M241" s="9" t="str">
        <f t="shared" si="0"/>
        <v>0-10%</v>
      </c>
    </row>
    <row r="242">
      <c r="A242" s="10">
        <v>44933</v>
      </c>
      <c r="B242" s="9" t="s">
        <v>316</v>
      </c>
      <c r="C242" s="9" t="s">
        <v>14</v>
      </c>
      <c r="D242" s="9" t="s">
        <v>10</v>
      </c>
      <c r="E242" s="9" t="s">
        <v>21</v>
      </c>
      <c r="F242" s="9" t="s">
        <v>96</v>
      </c>
      <c r="G242" s="9">
        <v>146.27000000000001</v>
      </c>
      <c r="H242" s="9">
        <v>14</v>
      </c>
      <c r="I242" s="9">
        <v>2047.78</v>
      </c>
      <c r="J242" s="9">
        <v>0.20999999999999999</v>
      </c>
      <c r="K242" s="9">
        <v>-66.019999999999996</v>
      </c>
      <c r="L242" s="9" t="s">
        <v>72</v>
      </c>
      <c r="M242" s="9" t="str">
        <f t="shared" si="0"/>
        <v>10-20%</v>
      </c>
    </row>
    <row r="243">
      <c r="A243" s="10">
        <v>45015</v>
      </c>
      <c r="B243" s="9" t="s">
        <v>317</v>
      </c>
      <c r="C243" s="9" t="s">
        <v>17</v>
      </c>
      <c r="D243" s="9" t="s">
        <v>10</v>
      </c>
      <c r="E243" s="9" t="s">
        <v>20</v>
      </c>
      <c r="F243" s="9" t="s">
        <v>69</v>
      </c>
      <c r="G243" s="9">
        <v>268.50999999999999</v>
      </c>
      <c r="H243" s="9">
        <v>3</v>
      </c>
      <c r="I243" s="9">
        <v>805.52999999999997</v>
      </c>
      <c r="J243" s="9">
        <v>0.27000000000000002</v>
      </c>
      <c r="K243" s="9">
        <v>-17.949999999999999</v>
      </c>
      <c r="L243" s="9" t="s">
        <v>72</v>
      </c>
      <c r="M243" s="9" t="str">
        <f t="shared" si="0"/>
        <v>20%+</v>
      </c>
    </row>
    <row r="244">
      <c r="A244" s="10">
        <v>44990</v>
      </c>
      <c r="B244" s="9" t="s">
        <v>318</v>
      </c>
      <c r="C244" s="9" t="s">
        <v>14</v>
      </c>
      <c r="D244" s="9" t="s">
        <v>9</v>
      </c>
      <c r="E244" s="9" t="s">
        <v>20</v>
      </c>
      <c r="F244" s="9" t="s">
        <v>65</v>
      </c>
      <c r="G244" s="9">
        <v>384.75999999999999</v>
      </c>
      <c r="H244" s="9">
        <v>3</v>
      </c>
      <c r="I244" s="9">
        <v>1154.28</v>
      </c>
      <c r="J244" s="9">
        <v>0.01</v>
      </c>
      <c r="K244" s="9">
        <v>197.84</v>
      </c>
      <c r="L244" s="9" t="s">
        <v>63</v>
      </c>
      <c r="M244" s="9" t="str">
        <f t="shared" si="0"/>
        <v>20%+</v>
      </c>
    </row>
    <row r="245">
      <c r="A245" s="10">
        <v>45182</v>
      </c>
      <c r="B245" s="9" t="s">
        <v>319</v>
      </c>
      <c r="C245" s="9" t="s">
        <v>15</v>
      </c>
      <c r="D245" s="9" t="s">
        <v>8</v>
      </c>
      <c r="E245" s="9" t="s">
        <v>22</v>
      </c>
      <c r="F245" s="9" t="s">
        <v>54</v>
      </c>
      <c r="G245" s="9">
        <v>455.30000000000001</v>
      </c>
      <c r="H245" s="9">
        <v>2</v>
      </c>
      <c r="I245" s="9">
        <v>910.60000000000002</v>
      </c>
      <c r="J245" s="9">
        <v>0.16</v>
      </c>
      <c r="K245" s="9">
        <v>49.789999999999999</v>
      </c>
      <c r="L245" s="9" t="s">
        <v>58</v>
      </c>
      <c r="M245" s="9" t="str">
        <f t="shared" si="0"/>
        <v>0-10%</v>
      </c>
    </row>
    <row r="246">
      <c r="A246" s="10">
        <v>45017</v>
      </c>
      <c r="B246" s="9" t="s">
        <v>320</v>
      </c>
      <c r="C246" s="9" t="s">
        <v>17</v>
      </c>
      <c r="D246" s="9" t="s">
        <v>9</v>
      </c>
      <c r="E246" s="9" t="s">
        <v>21</v>
      </c>
      <c r="F246" s="9" t="s">
        <v>96</v>
      </c>
      <c r="G246" s="9">
        <v>320.27999999999997</v>
      </c>
      <c r="H246" s="9">
        <v>8</v>
      </c>
      <c r="I246" s="9">
        <v>2562.2399999999998</v>
      </c>
      <c r="J246" s="9">
        <v>0.10000000000000001</v>
      </c>
      <c r="K246" s="9">
        <v>104.61</v>
      </c>
      <c r="L246" s="9" t="s">
        <v>63</v>
      </c>
      <c r="M246" s="9" t="str">
        <f t="shared" si="0"/>
        <v>10-20%</v>
      </c>
    </row>
    <row r="247">
      <c r="A247" s="10">
        <v>45045</v>
      </c>
      <c r="B247" s="9" t="s">
        <v>321</v>
      </c>
      <c r="C247" s="9" t="s">
        <v>17</v>
      </c>
      <c r="D247" s="9" t="s">
        <v>10</v>
      </c>
      <c r="E247" s="9" t="s">
        <v>19</v>
      </c>
      <c r="F247" s="9" t="s">
        <v>67</v>
      </c>
      <c r="G247" s="9">
        <v>350.19999999999999</v>
      </c>
      <c r="H247" s="9">
        <v>11</v>
      </c>
      <c r="I247" s="9">
        <v>3852.1999999999998</v>
      </c>
      <c r="J247" s="9">
        <v>0.089999999999999997</v>
      </c>
      <c r="K247" s="9">
        <v>51.909999999999997</v>
      </c>
      <c r="L247" s="9" t="s">
        <v>58</v>
      </c>
      <c r="M247" s="9" t="str">
        <f t="shared" si="0"/>
        <v>0-10%</v>
      </c>
    </row>
    <row r="248">
      <c r="A248" s="10">
        <v>44981</v>
      </c>
      <c r="B248" s="9" t="s">
        <v>322</v>
      </c>
      <c r="C248" s="9" t="s">
        <v>16</v>
      </c>
      <c r="D248" s="9" t="s">
        <v>10</v>
      </c>
      <c r="E248" s="9" t="s">
        <v>22</v>
      </c>
      <c r="F248" s="9" t="s">
        <v>110</v>
      </c>
      <c r="G248" s="9">
        <v>96.650000000000006</v>
      </c>
      <c r="H248" s="9">
        <v>4</v>
      </c>
      <c r="I248" s="9">
        <v>386.60000000000002</v>
      </c>
      <c r="J248" s="9">
        <v>0.040000000000000001</v>
      </c>
      <c r="K248" s="9">
        <v>59.25</v>
      </c>
      <c r="L248" s="9" t="s">
        <v>72</v>
      </c>
      <c r="M248" s="9" t="str">
        <f t="shared" si="0"/>
        <v>0-10%</v>
      </c>
    </row>
    <row r="249">
      <c r="A249" s="10">
        <v>45044</v>
      </c>
      <c r="B249" s="9" t="s">
        <v>323</v>
      </c>
      <c r="C249" s="9" t="s">
        <v>15</v>
      </c>
      <c r="D249" s="9" t="s">
        <v>9</v>
      </c>
      <c r="E249" s="9" t="s">
        <v>20</v>
      </c>
      <c r="F249" s="9" t="s">
        <v>69</v>
      </c>
      <c r="G249" s="9">
        <v>10.99</v>
      </c>
      <c r="H249" s="9">
        <v>5</v>
      </c>
      <c r="I249" s="9">
        <v>54.950000000000003</v>
      </c>
      <c r="J249" s="9">
        <v>0</v>
      </c>
      <c r="K249" s="9">
        <v>4.6699999999999999</v>
      </c>
      <c r="L249" s="9" t="s">
        <v>58</v>
      </c>
      <c r="M249" s="9" t="str">
        <f t="shared" si="0"/>
        <v>0-10%</v>
      </c>
    </row>
    <row r="250">
      <c r="A250" s="10">
        <v>45229</v>
      </c>
      <c r="B250" s="9" t="s">
        <v>324</v>
      </c>
      <c r="C250" s="9" t="s">
        <v>15</v>
      </c>
      <c r="D250" s="9" t="s">
        <v>9</v>
      </c>
      <c r="E250" s="9" t="s">
        <v>19</v>
      </c>
      <c r="F250" s="9" t="s">
        <v>67</v>
      </c>
      <c r="G250" s="9">
        <v>106.16</v>
      </c>
      <c r="H250" s="9">
        <v>9</v>
      </c>
      <c r="I250" s="9">
        <v>955.44000000000005</v>
      </c>
      <c r="J250" s="9">
        <v>0.23999999999999999</v>
      </c>
      <c r="K250" s="9">
        <v>-63.130000000000003</v>
      </c>
      <c r="L250" s="9" t="s">
        <v>63</v>
      </c>
      <c r="M250" s="9" t="str">
        <f t="shared" si="0"/>
        <v>0-10%</v>
      </c>
    </row>
    <row r="251">
      <c r="A251" s="10">
        <v>45137</v>
      </c>
      <c r="B251" s="9" t="s">
        <v>325</v>
      </c>
      <c r="C251" s="9" t="s">
        <v>17</v>
      </c>
      <c r="D251" s="9" t="s">
        <v>12</v>
      </c>
      <c r="E251" s="9" t="s">
        <v>22</v>
      </c>
      <c r="F251" s="9" t="s">
        <v>125</v>
      </c>
      <c r="G251" s="9">
        <v>56.57</v>
      </c>
      <c r="H251" s="9">
        <v>14</v>
      </c>
      <c r="I251" s="9">
        <v>791.98000000000002</v>
      </c>
      <c r="J251" s="9">
        <v>0</v>
      </c>
      <c r="K251" s="9">
        <v>75.819999999999993</v>
      </c>
      <c r="L251" s="9" t="s">
        <v>72</v>
      </c>
      <c r="M251" s="9" t="str">
        <f t="shared" si="0"/>
        <v>20%+</v>
      </c>
    </row>
    <row r="252">
      <c r="A252" s="10">
        <v>45111</v>
      </c>
      <c r="B252" s="9" t="s">
        <v>326</v>
      </c>
      <c r="C252" s="9" t="s">
        <v>16</v>
      </c>
      <c r="D252" s="9" t="s">
        <v>11</v>
      </c>
      <c r="E252" s="9" t="s">
        <v>19</v>
      </c>
      <c r="F252" s="9" t="s">
        <v>60</v>
      </c>
      <c r="G252" s="9">
        <v>333.13999999999999</v>
      </c>
      <c r="H252" s="9">
        <v>14</v>
      </c>
      <c r="I252" s="9">
        <v>4663.96</v>
      </c>
      <c r="J252" s="9">
        <v>0.16</v>
      </c>
      <c r="K252" s="9">
        <v>-89.959999999999994</v>
      </c>
      <c r="L252" s="9" t="s">
        <v>55</v>
      </c>
      <c r="M252" s="9" t="str">
        <f t="shared" si="0"/>
        <v>0-10%</v>
      </c>
    </row>
    <row r="253">
      <c r="A253" s="10">
        <v>45176</v>
      </c>
      <c r="B253" s="9" t="s">
        <v>327</v>
      </c>
      <c r="C253" s="9" t="s">
        <v>16</v>
      </c>
      <c r="D253" s="9" t="s">
        <v>11</v>
      </c>
      <c r="E253" s="9" t="s">
        <v>20</v>
      </c>
      <c r="F253" s="9" t="s">
        <v>69</v>
      </c>
      <c r="G253" s="9">
        <v>20.210000000000001</v>
      </c>
      <c r="H253" s="9">
        <v>13</v>
      </c>
      <c r="I253" s="9">
        <v>262.73000000000002</v>
      </c>
      <c r="J253" s="9">
        <v>0.14000000000000001</v>
      </c>
      <c r="K253" s="9">
        <v>27.329999999999998</v>
      </c>
      <c r="L253" s="9" t="s">
        <v>55</v>
      </c>
      <c r="M253" s="9" t="str">
        <f t="shared" si="0"/>
        <v>10-20%</v>
      </c>
    </row>
    <row r="254">
      <c r="A254" s="10">
        <v>45228</v>
      </c>
      <c r="B254" s="9" t="s">
        <v>328</v>
      </c>
      <c r="C254" s="9" t="s">
        <v>15</v>
      </c>
      <c r="D254" s="9" t="s">
        <v>8</v>
      </c>
      <c r="E254" s="9" t="s">
        <v>19</v>
      </c>
      <c r="F254" s="9" t="s">
        <v>98</v>
      </c>
      <c r="G254" s="9">
        <v>120.48</v>
      </c>
      <c r="H254" s="9">
        <v>3</v>
      </c>
      <c r="I254" s="9">
        <v>361.44</v>
      </c>
      <c r="J254" s="9">
        <v>0.28999999999999998</v>
      </c>
      <c r="K254" s="9">
        <v>-59.75</v>
      </c>
      <c r="L254" s="9" t="s">
        <v>55</v>
      </c>
      <c r="M254" s="9" t="str">
        <f t="shared" si="0"/>
        <v>10-20%</v>
      </c>
    </row>
    <row r="255">
      <c r="A255" s="10">
        <v>45101</v>
      </c>
      <c r="B255" s="9" t="s">
        <v>329</v>
      </c>
      <c r="C255" s="9" t="s">
        <v>14</v>
      </c>
      <c r="D255" s="9" t="s">
        <v>10</v>
      </c>
      <c r="E255" s="9" t="s">
        <v>19</v>
      </c>
      <c r="F255" s="9" t="s">
        <v>60</v>
      </c>
      <c r="G255" s="9">
        <v>110.70999999999999</v>
      </c>
      <c r="H255" s="9">
        <v>15</v>
      </c>
      <c r="I255" s="9">
        <v>1660.6500000000001</v>
      </c>
      <c r="J255" s="9">
        <v>0.11</v>
      </c>
      <c r="K255" s="9">
        <v>224.81</v>
      </c>
      <c r="L255" s="9" t="s">
        <v>63</v>
      </c>
      <c r="M255" s="9" t="str">
        <f t="shared" si="0"/>
        <v>20%+</v>
      </c>
    </row>
    <row r="256">
      <c r="A256" s="10">
        <v>44943</v>
      </c>
      <c r="B256" s="9" t="s">
        <v>330</v>
      </c>
      <c r="C256" s="9" t="s">
        <v>15</v>
      </c>
      <c r="D256" s="9" t="s">
        <v>11</v>
      </c>
      <c r="E256" s="9" t="s">
        <v>21</v>
      </c>
      <c r="F256" s="9" t="s">
        <v>76</v>
      </c>
      <c r="G256" s="9">
        <v>362.36000000000001</v>
      </c>
      <c r="H256" s="9">
        <v>4</v>
      </c>
      <c r="I256" s="9">
        <v>1449.4400000000001</v>
      </c>
      <c r="J256" s="9">
        <v>0.10000000000000001</v>
      </c>
      <c r="K256" s="9">
        <v>197.40000000000001</v>
      </c>
      <c r="L256" s="9" t="s">
        <v>58</v>
      </c>
      <c r="M256" s="9" t="str">
        <f t="shared" si="0"/>
        <v>10-20%</v>
      </c>
    </row>
    <row r="257">
      <c r="A257" s="10">
        <v>44932</v>
      </c>
      <c r="B257" s="9" t="s">
        <v>331</v>
      </c>
      <c r="C257" s="9" t="s">
        <v>17</v>
      </c>
      <c r="D257" s="9" t="s">
        <v>8</v>
      </c>
      <c r="E257" s="9" t="s">
        <v>22</v>
      </c>
      <c r="F257" s="9" t="s">
        <v>71</v>
      </c>
      <c r="G257" s="9">
        <v>279.75999999999999</v>
      </c>
      <c r="H257" s="9">
        <v>11</v>
      </c>
      <c r="I257" s="9">
        <v>3077.3600000000001</v>
      </c>
      <c r="J257" s="9">
        <v>0.23999999999999999</v>
      </c>
      <c r="K257" s="9">
        <v>-520.47000000000003</v>
      </c>
      <c r="L257" s="9" t="s">
        <v>72</v>
      </c>
      <c r="M257" s="9" t="str">
        <f t="shared" si="0"/>
        <v>0-10%</v>
      </c>
    </row>
    <row r="258">
      <c r="A258" s="10">
        <v>45236</v>
      </c>
      <c r="B258" s="9" t="s">
        <v>332</v>
      </c>
      <c r="C258" s="9" t="s">
        <v>14</v>
      </c>
      <c r="D258" s="9" t="s">
        <v>8</v>
      </c>
      <c r="E258" s="9" t="s">
        <v>22</v>
      </c>
      <c r="F258" s="9" t="s">
        <v>110</v>
      </c>
      <c r="G258" s="9">
        <v>226.40000000000001</v>
      </c>
      <c r="H258" s="9">
        <v>15</v>
      </c>
      <c r="I258" s="9">
        <v>3396</v>
      </c>
      <c r="J258" s="9">
        <v>0.22</v>
      </c>
      <c r="K258" s="9">
        <v>-1.72</v>
      </c>
      <c r="L258" s="9" t="s">
        <v>55</v>
      </c>
      <c r="M258" s="9" t="str">
        <f t="shared" si="0"/>
        <v>20%+</v>
      </c>
    </row>
    <row r="259">
      <c r="A259" s="10">
        <v>45052</v>
      </c>
      <c r="B259" s="9" t="s">
        <v>333</v>
      </c>
      <c r="C259" s="9" t="s">
        <v>16</v>
      </c>
      <c r="D259" s="9" t="s">
        <v>12</v>
      </c>
      <c r="E259" s="9" t="s">
        <v>21</v>
      </c>
      <c r="F259" s="9" t="s">
        <v>96</v>
      </c>
      <c r="G259" s="9">
        <v>113.16</v>
      </c>
      <c r="H259" s="9">
        <v>2</v>
      </c>
      <c r="I259" s="9">
        <v>226.31999999999999</v>
      </c>
      <c r="J259" s="9">
        <v>0.27000000000000002</v>
      </c>
      <c r="K259" s="9">
        <v>-15.390000000000001</v>
      </c>
      <c r="L259" s="9" t="s">
        <v>55</v>
      </c>
      <c r="M259" s="9" t="str">
        <f t="shared" si="0"/>
        <v>20%+</v>
      </c>
    </row>
    <row r="260">
      <c r="A260" s="10">
        <v>45139</v>
      </c>
      <c r="B260" s="9" t="s">
        <v>334</v>
      </c>
      <c r="C260" s="9" t="s">
        <v>14</v>
      </c>
      <c r="D260" s="9" t="s">
        <v>10</v>
      </c>
      <c r="E260" s="9" t="s">
        <v>21</v>
      </c>
      <c r="F260" s="9" t="s">
        <v>82</v>
      </c>
      <c r="G260" s="9">
        <v>180.41999999999999</v>
      </c>
      <c r="H260" s="9">
        <v>9</v>
      </c>
      <c r="I260" s="9">
        <v>1623.78</v>
      </c>
      <c r="J260" s="9">
        <v>0.23999999999999999</v>
      </c>
      <c r="K260" s="9">
        <v>-220.37</v>
      </c>
      <c r="L260" s="9" t="s">
        <v>55</v>
      </c>
      <c r="M260" s="9" t="str">
        <f t="shared" si="0"/>
        <v>20%+</v>
      </c>
    </row>
    <row r="261">
      <c r="A261" s="10">
        <v>45156</v>
      </c>
      <c r="B261" s="9" t="s">
        <v>335</v>
      </c>
      <c r="C261" s="9" t="s">
        <v>16</v>
      </c>
      <c r="D261" s="9" t="s">
        <v>10</v>
      </c>
      <c r="E261" s="9" t="s">
        <v>20</v>
      </c>
      <c r="F261" s="9" t="s">
        <v>80</v>
      </c>
      <c r="G261" s="9">
        <v>417.75999999999999</v>
      </c>
      <c r="H261" s="9">
        <v>3</v>
      </c>
      <c r="I261" s="9">
        <v>1253.28</v>
      </c>
      <c r="J261" s="9">
        <v>0.13</v>
      </c>
      <c r="K261" s="9">
        <v>76.370000000000005</v>
      </c>
      <c r="L261" s="9" t="s">
        <v>55</v>
      </c>
      <c r="M261" s="9" t="str">
        <f t="shared" si="0"/>
        <v>20%+</v>
      </c>
    </row>
    <row r="262">
      <c r="A262" s="10">
        <v>44958</v>
      </c>
      <c r="B262" s="9" t="s">
        <v>336</v>
      </c>
      <c r="C262" s="9" t="s">
        <v>14</v>
      </c>
      <c r="D262" s="9" t="s">
        <v>10</v>
      </c>
      <c r="E262" s="9" t="s">
        <v>21</v>
      </c>
      <c r="F262" s="9" t="s">
        <v>82</v>
      </c>
      <c r="G262" s="9">
        <v>50.229999999999997</v>
      </c>
      <c r="H262" s="9">
        <v>3</v>
      </c>
      <c r="I262" s="9">
        <v>150.69</v>
      </c>
      <c r="J262" s="9">
        <v>0</v>
      </c>
      <c r="K262" s="9">
        <v>32.060000000000002</v>
      </c>
      <c r="L262" s="9" t="s">
        <v>63</v>
      </c>
      <c r="M262" s="9" t="str">
        <f t="shared" si="0"/>
        <v>10-20%</v>
      </c>
    </row>
    <row r="263">
      <c r="A263" s="10">
        <v>45037</v>
      </c>
      <c r="B263" s="9" t="s">
        <v>337</v>
      </c>
      <c r="C263" s="9" t="s">
        <v>17</v>
      </c>
      <c r="D263" s="9" t="s">
        <v>12</v>
      </c>
      <c r="E263" s="9" t="s">
        <v>21</v>
      </c>
      <c r="F263" s="9" t="s">
        <v>82</v>
      </c>
      <c r="G263" s="9">
        <v>289.43000000000001</v>
      </c>
      <c r="H263" s="9">
        <v>14</v>
      </c>
      <c r="I263" s="9">
        <v>4052.02</v>
      </c>
      <c r="J263" s="9">
        <v>0.12</v>
      </c>
      <c r="K263" s="9">
        <v>100.95</v>
      </c>
      <c r="L263" s="9" t="s">
        <v>55</v>
      </c>
      <c r="M263" s="9" t="str">
        <f t="shared" si="0"/>
        <v>0-10%</v>
      </c>
    </row>
    <row r="264">
      <c r="A264" s="10">
        <v>45086</v>
      </c>
      <c r="B264" s="9" t="s">
        <v>338</v>
      </c>
      <c r="C264" s="9" t="s">
        <v>16</v>
      </c>
      <c r="D264" s="9" t="s">
        <v>9</v>
      </c>
      <c r="E264" s="9" t="s">
        <v>22</v>
      </c>
      <c r="F264" s="9" t="s">
        <v>84</v>
      </c>
      <c r="G264" s="9">
        <v>370.88999999999999</v>
      </c>
      <c r="H264" s="9">
        <v>15</v>
      </c>
      <c r="I264" s="9">
        <v>5563.3500000000004</v>
      </c>
      <c r="J264" s="9">
        <v>0.16</v>
      </c>
      <c r="K264" s="9">
        <v>-72.930000000000007</v>
      </c>
      <c r="L264" s="9" t="s">
        <v>58</v>
      </c>
      <c r="M264" s="9" t="str">
        <f t="shared" si="0"/>
        <v>10-20%</v>
      </c>
    </row>
    <row r="265">
      <c r="A265" s="10">
        <v>45036</v>
      </c>
      <c r="B265" s="9" t="s">
        <v>339</v>
      </c>
      <c r="C265" s="9" t="s">
        <v>17</v>
      </c>
      <c r="D265" s="9" t="s">
        <v>11</v>
      </c>
      <c r="E265" s="9" t="s">
        <v>20</v>
      </c>
      <c r="F265" s="9" t="s">
        <v>80</v>
      </c>
      <c r="G265" s="9">
        <v>401.56</v>
      </c>
      <c r="H265" s="9">
        <v>3</v>
      </c>
      <c r="I265" s="9">
        <v>1204.6800000000001</v>
      </c>
      <c r="J265" s="9">
        <v>0.14999999999999999</v>
      </c>
      <c r="K265" s="9">
        <v>-109.73</v>
      </c>
      <c r="L265" s="9" t="s">
        <v>55</v>
      </c>
      <c r="M265" s="9" t="str">
        <f t="shared" si="0"/>
        <v>10-20%</v>
      </c>
    </row>
    <row r="266">
      <c r="A266" s="10">
        <v>45174</v>
      </c>
      <c r="B266" s="9" t="s">
        <v>340</v>
      </c>
      <c r="C266" s="9" t="s">
        <v>17</v>
      </c>
      <c r="D266" s="9" t="s">
        <v>8</v>
      </c>
      <c r="E266" s="9" t="s">
        <v>22</v>
      </c>
      <c r="F266" s="9" t="s">
        <v>71</v>
      </c>
      <c r="G266" s="9">
        <v>41.770000000000003</v>
      </c>
      <c r="H266" s="9">
        <v>9</v>
      </c>
      <c r="I266" s="9">
        <v>375.93000000000001</v>
      </c>
      <c r="J266" s="9">
        <v>0.22</v>
      </c>
      <c r="K266" s="9">
        <v>4.9199999999999999</v>
      </c>
      <c r="L266" s="9" t="s">
        <v>55</v>
      </c>
      <c r="M266" s="9" t="str">
        <f t="shared" si="0"/>
        <v>10-20%</v>
      </c>
    </row>
    <row r="267">
      <c r="A267" s="10">
        <v>45289</v>
      </c>
      <c r="B267" s="9" t="s">
        <v>341</v>
      </c>
      <c r="C267" s="9" t="s">
        <v>17</v>
      </c>
      <c r="D267" s="9" t="s">
        <v>9</v>
      </c>
      <c r="E267" s="9" t="s">
        <v>20</v>
      </c>
      <c r="F267" s="9" t="s">
        <v>69</v>
      </c>
      <c r="G267" s="9">
        <v>280.10000000000002</v>
      </c>
      <c r="H267" s="9">
        <v>14</v>
      </c>
      <c r="I267" s="9">
        <v>3921.4000000000001</v>
      </c>
      <c r="J267" s="9">
        <v>0.059999999999999998</v>
      </c>
      <c r="K267" s="9">
        <v>447.54000000000002</v>
      </c>
      <c r="L267" s="9" t="s">
        <v>55</v>
      </c>
      <c r="M267" s="9" t="str">
        <f t="shared" si="0"/>
        <v>20%+</v>
      </c>
    </row>
    <row r="268">
      <c r="A268" s="10">
        <v>45183</v>
      </c>
      <c r="B268" s="9" t="s">
        <v>342</v>
      </c>
      <c r="C268" s="9" t="s">
        <v>14</v>
      </c>
      <c r="D268" s="9" t="s">
        <v>10</v>
      </c>
      <c r="E268" s="9" t="s">
        <v>19</v>
      </c>
      <c r="F268" s="9" t="s">
        <v>62</v>
      </c>
      <c r="G268" s="9">
        <v>53.590000000000003</v>
      </c>
      <c r="H268" s="9">
        <v>10</v>
      </c>
      <c r="I268" s="9">
        <v>535.89999999999998</v>
      </c>
      <c r="J268" s="9">
        <v>0.16</v>
      </c>
      <c r="K268" s="9">
        <v>15.73</v>
      </c>
      <c r="L268" s="9" t="s">
        <v>55</v>
      </c>
      <c r="M268" s="9" t="str">
        <f t="shared" si="0"/>
        <v>0-10%</v>
      </c>
    </row>
    <row r="269">
      <c r="A269" s="10">
        <v>45240</v>
      </c>
      <c r="B269" s="9" t="s">
        <v>343</v>
      </c>
      <c r="C269" s="9" t="s">
        <v>16</v>
      </c>
      <c r="D269" s="9" t="s">
        <v>11</v>
      </c>
      <c r="E269" s="9" t="s">
        <v>21</v>
      </c>
      <c r="F269" s="9" t="s">
        <v>88</v>
      </c>
      <c r="G269" s="9">
        <v>101.95</v>
      </c>
      <c r="H269" s="9">
        <v>14</v>
      </c>
      <c r="I269" s="9">
        <v>1427.3</v>
      </c>
      <c r="J269" s="9">
        <v>0.23999999999999999</v>
      </c>
      <c r="K269" s="9">
        <v>-50.869999999999997</v>
      </c>
      <c r="L269" s="9" t="s">
        <v>63</v>
      </c>
      <c r="M269" s="9" t="str">
        <f t="shared" si="0"/>
        <v>10-20%</v>
      </c>
    </row>
    <row r="270">
      <c r="A270" s="10">
        <v>44945</v>
      </c>
      <c r="B270" s="9" t="s">
        <v>344</v>
      </c>
      <c r="C270" s="9" t="s">
        <v>16</v>
      </c>
      <c r="D270" s="9" t="s">
        <v>9</v>
      </c>
      <c r="E270" s="9" t="s">
        <v>19</v>
      </c>
      <c r="F270" s="9" t="s">
        <v>98</v>
      </c>
      <c r="G270" s="9">
        <v>41.5</v>
      </c>
      <c r="H270" s="9">
        <v>5</v>
      </c>
      <c r="I270" s="9">
        <v>207.5</v>
      </c>
      <c r="J270" s="9">
        <v>0.17000000000000001</v>
      </c>
      <c r="K270" s="9">
        <v>-11.25</v>
      </c>
      <c r="L270" s="9" t="s">
        <v>72</v>
      </c>
      <c r="M270" s="9" t="str">
        <f t="shared" si="0"/>
        <v>20%+</v>
      </c>
    </row>
    <row r="271">
      <c r="A271" s="10">
        <v>44969</v>
      </c>
      <c r="B271" s="9" t="s">
        <v>345</v>
      </c>
      <c r="C271" s="9" t="s">
        <v>16</v>
      </c>
      <c r="D271" s="9" t="s">
        <v>10</v>
      </c>
      <c r="E271" s="9" t="s">
        <v>22</v>
      </c>
      <c r="F271" s="9" t="s">
        <v>84</v>
      </c>
      <c r="G271" s="9">
        <v>111.53</v>
      </c>
      <c r="H271" s="9">
        <v>13</v>
      </c>
      <c r="I271" s="9">
        <v>1449.8900000000001</v>
      </c>
      <c r="J271" s="9">
        <v>0.070000000000000007</v>
      </c>
      <c r="K271" s="9">
        <v>59.450000000000003</v>
      </c>
      <c r="L271" s="9" t="s">
        <v>63</v>
      </c>
      <c r="M271" s="9" t="str">
        <f t="shared" si="0"/>
        <v>10-20%</v>
      </c>
    </row>
    <row r="272">
      <c r="A272" s="10">
        <v>45102</v>
      </c>
      <c r="B272" s="9" t="s">
        <v>346</v>
      </c>
      <c r="C272" s="9" t="s">
        <v>15</v>
      </c>
      <c r="D272" s="9" t="s">
        <v>8</v>
      </c>
      <c r="E272" s="9" t="s">
        <v>22</v>
      </c>
      <c r="F272" s="9" t="s">
        <v>125</v>
      </c>
      <c r="G272" s="9">
        <v>379.10000000000002</v>
      </c>
      <c r="H272" s="9">
        <v>5</v>
      </c>
      <c r="I272" s="9">
        <v>1895.5</v>
      </c>
      <c r="J272" s="9">
        <v>0.070000000000000007</v>
      </c>
      <c r="K272" s="9">
        <v>102.98</v>
      </c>
      <c r="L272" s="9" t="s">
        <v>63</v>
      </c>
      <c r="M272" s="9" t="str">
        <f t="shared" si="0"/>
        <v>0-10%</v>
      </c>
    </row>
    <row r="273">
      <c r="A273" s="10">
        <v>45033</v>
      </c>
      <c r="B273" s="9" t="s">
        <v>347</v>
      </c>
      <c r="C273" s="9" t="s">
        <v>14</v>
      </c>
      <c r="D273" s="9" t="s">
        <v>12</v>
      </c>
      <c r="E273" s="9" t="s">
        <v>21</v>
      </c>
      <c r="F273" s="9" t="s">
        <v>78</v>
      </c>
      <c r="G273" s="9">
        <v>40.979999999999997</v>
      </c>
      <c r="H273" s="9">
        <v>15</v>
      </c>
      <c r="I273" s="9">
        <v>614.70000000000005</v>
      </c>
      <c r="J273" s="9">
        <v>0.14999999999999999</v>
      </c>
      <c r="K273" s="9">
        <v>50.329999999999998</v>
      </c>
      <c r="L273" s="9" t="s">
        <v>72</v>
      </c>
      <c r="M273" s="9" t="str">
        <f t="shared" si="0"/>
        <v>0-10%</v>
      </c>
    </row>
    <row r="274">
      <c r="A274" s="10">
        <v>45094</v>
      </c>
      <c r="B274" s="9" t="s">
        <v>348</v>
      </c>
      <c r="C274" s="9" t="s">
        <v>17</v>
      </c>
      <c r="D274" s="9" t="s">
        <v>12</v>
      </c>
      <c r="E274" s="9" t="s">
        <v>19</v>
      </c>
      <c r="F274" s="9" t="s">
        <v>98</v>
      </c>
      <c r="G274" s="9">
        <v>487.80000000000001</v>
      </c>
      <c r="H274" s="9">
        <v>3</v>
      </c>
      <c r="I274" s="9">
        <v>1463.4000000000001</v>
      </c>
      <c r="J274" s="9">
        <v>0.22</v>
      </c>
      <c r="K274" s="9">
        <v>-185.31</v>
      </c>
      <c r="L274" s="9" t="s">
        <v>55</v>
      </c>
      <c r="M274" s="9" t="str">
        <f t="shared" si="0"/>
        <v>10-20%</v>
      </c>
    </row>
    <row r="275">
      <c r="A275" s="10">
        <v>45167</v>
      </c>
      <c r="B275" s="9" t="s">
        <v>349</v>
      </c>
      <c r="C275" s="9" t="s">
        <v>17</v>
      </c>
      <c r="D275" s="9" t="s">
        <v>11</v>
      </c>
      <c r="E275" s="9" t="s">
        <v>19</v>
      </c>
      <c r="F275" s="9" t="s">
        <v>62</v>
      </c>
      <c r="G275" s="9">
        <v>149.09999999999999</v>
      </c>
      <c r="H275" s="9">
        <v>10</v>
      </c>
      <c r="I275" s="9">
        <v>1491</v>
      </c>
      <c r="J275" s="9">
        <v>0.20000000000000001</v>
      </c>
      <c r="K275" s="9">
        <v>-204.38999999999999</v>
      </c>
      <c r="L275" s="9" t="s">
        <v>58</v>
      </c>
      <c r="M275" s="9" t="str">
        <f t="shared" si="0"/>
        <v>20%+</v>
      </c>
    </row>
    <row r="276">
      <c r="A276" s="10">
        <v>45050</v>
      </c>
      <c r="B276" s="9" t="s">
        <v>350</v>
      </c>
      <c r="C276" s="9" t="s">
        <v>14</v>
      </c>
      <c r="D276" s="9" t="s">
        <v>11</v>
      </c>
      <c r="E276" s="9" t="s">
        <v>21</v>
      </c>
      <c r="F276" s="9" t="s">
        <v>88</v>
      </c>
      <c r="G276" s="9">
        <v>335.91000000000003</v>
      </c>
      <c r="H276" s="9">
        <v>1</v>
      </c>
      <c r="I276" s="9">
        <v>335.91000000000003</v>
      </c>
      <c r="J276" s="9">
        <v>0.17999999999999999</v>
      </c>
      <c r="K276" s="9">
        <v>-32.93</v>
      </c>
      <c r="L276" s="9" t="s">
        <v>72</v>
      </c>
      <c r="M276" s="9" t="str">
        <f t="shared" si="0"/>
        <v>10-20%</v>
      </c>
    </row>
    <row r="277">
      <c r="A277" s="10">
        <v>45109</v>
      </c>
      <c r="B277" s="9" t="s">
        <v>351</v>
      </c>
      <c r="C277" s="9" t="s">
        <v>14</v>
      </c>
      <c r="D277" s="9" t="s">
        <v>12</v>
      </c>
      <c r="E277" s="9" t="s">
        <v>20</v>
      </c>
      <c r="F277" s="9" t="s">
        <v>65</v>
      </c>
      <c r="G277" s="9">
        <v>338.66000000000003</v>
      </c>
      <c r="H277" s="9">
        <v>12</v>
      </c>
      <c r="I277" s="9">
        <v>4063.9200000000001</v>
      </c>
      <c r="J277" s="9">
        <v>0.16</v>
      </c>
      <c r="K277" s="9">
        <v>-177.66</v>
      </c>
      <c r="L277" s="9" t="s">
        <v>58</v>
      </c>
      <c r="M277" s="9" t="str">
        <f t="shared" si="0"/>
        <v>10-20%</v>
      </c>
    </row>
    <row r="278">
      <c r="A278" s="10">
        <v>45050</v>
      </c>
      <c r="B278" s="9" t="s">
        <v>352</v>
      </c>
      <c r="C278" s="9" t="s">
        <v>15</v>
      </c>
      <c r="D278" s="9" t="s">
        <v>12</v>
      </c>
      <c r="E278" s="9" t="s">
        <v>22</v>
      </c>
      <c r="F278" s="9" t="s">
        <v>110</v>
      </c>
      <c r="G278" s="9">
        <v>266.24000000000001</v>
      </c>
      <c r="H278" s="9">
        <v>9</v>
      </c>
      <c r="I278" s="9">
        <v>2396.1599999999999</v>
      </c>
      <c r="J278" s="9">
        <v>0.19</v>
      </c>
      <c r="K278" s="9">
        <v>25.300000000000001</v>
      </c>
      <c r="L278" s="9" t="s">
        <v>55</v>
      </c>
      <c r="M278" s="9" t="str">
        <f t="shared" si="0"/>
        <v>10-20%</v>
      </c>
    </row>
    <row r="279">
      <c r="A279" s="10">
        <v>45091</v>
      </c>
      <c r="B279" s="9" t="s">
        <v>353</v>
      </c>
      <c r="C279" s="9" t="s">
        <v>16</v>
      </c>
      <c r="D279" s="9" t="s">
        <v>11</v>
      </c>
      <c r="E279" s="9" t="s">
        <v>22</v>
      </c>
      <c r="F279" s="9" t="s">
        <v>71</v>
      </c>
      <c r="G279" s="9">
        <v>190.08000000000001</v>
      </c>
      <c r="H279" s="9">
        <v>13</v>
      </c>
      <c r="I279" s="9">
        <v>2471.04</v>
      </c>
      <c r="J279" s="9">
        <v>0.25</v>
      </c>
      <c r="K279" s="9">
        <v>-465.52999999999997</v>
      </c>
      <c r="L279" s="9" t="s">
        <v>72</v>
      </c>
      <c r="M279" s="9" t="str">
        <f t="shared" si="0"/>
        <v>10-20%</v>
      </c>
    </row>
    <row r="280">
      <c r="A280" s="10">
        <v>45143</v>
      </c>
      <c r="B280" s="9" t="s">
        <v>354</v>
      </c>
      <c r="C280" s="9" t="s">
        <v>15</v>
      </c>
      <c r="D280" s="9" t="s">
        <v>9</v>
      </c>
      <c r="E280" s="9" t="s">
        <v>21</v>
      </c>
      <c r="F280" s="9" t="s">
        <v>88</v>
      </c>
      <c r="G280" s="9">
        <v>182.68000000000001</v>
      </c>
      <c r="H280" s="9">
        <v>6</v>
      </c>
      <c r="I280" s="9">
        <v>1096.0799999999999</v>
      </c>
      <c r="J280" s="9">
        <v>0.059999999999999998</v>
      </c>
      <c r="K280" s="9">
        <v>108.01000000000001</v>
      </c>
      <c r="L280" s="9" t="s">
        <v>58</v>
      </c>
      <c r="M280" s="9" t="str">
        <f t="shared" si="0"/>
        <v>20%+</v>
      </c>
    </row>
    <row r="281">
      <c r="A281" s="10">
        <v>45281</v>
      </c>
      <c r="B281" s="9" t="s">
        <v>355</v>
      </c>
      <c r="C281" s="9" t="s">
        <v>15</v>
      </c>
      <c r="D281" s="9" t="s">
        <v>9</v>
      </c>
      <c r="E281" s="9" t="s">
        <v>19</v>
      </c>
      <c r="F281" s="9" t="s">
        <v>57</v>
      </c>
      <c r="G281" s="9">
        <v>311.72000000000003</v>
      </c>
      <c r="H281" s="9">
        <v>1</v>
      </c>
      <c r="I281" s="9">
        <v>311.72000000000003</v>
      </c>
      <c r="J281" s="9">
        <v>0.25</v>
      </c>
      <c r="K281" s="9">
        <v>-23.760000000000002</v>
      </c>
      <c r="L281" s="9" t="s">
        <v>58</v>
      </c>
      <c r="M281" s="9" t="str">
        <f t="shared" si="0"/>
        <v>0-10%</v>
      </c>
    </row>
    <row r="282">
      <c r="A282" s="10">
        <v>45145</v>
      </c>
      <c r="B282" s="9" t="s">
        <v>356</v>
      </c>
      <c r="C282" s="9" t="s">
        <v>16</v>
      </c>
      <c r="D282" s="9" t="s">
        <v>12</v>
      </c>
      <c r="E282" s="9" t="s">
        <v>21</v>
      </c>
      <c r="F282" s="9" t="s">
        <v>76</v>
      </c>
      <c r="G282" s="9">
        <v>494.29000000000002</v>
      </c>
      <c r="H282" s="9">
        <v>3</v>
      </c>
      <c r="I282" s="9">
        <v>1482.8699999999999</v>
      </c>
      <c r="J282" s="9">
        <v>0.14000000000000001</v>
      </c>
      <c r="K282" s="9">
        <v>27.43</v>
      </c>
      <c r="L282" s="9" t="s">
        <v>55</v>
      </c>
      <c r="M282" s="9" t="str">
        <f t="shared" si="0"/>
        <v>20%+</v>
      </c>
    </row>
    <row r="283">
      <c r="A283" s="10">
        <v>44993</v>
      </c>
      <c r="B283" s="9" t="s">
        <v>357</v>
      </c>
      <c r="C283" s="9" t="s">
        <v>14</v>
      </c>
      <c r="D283" s="9" t="s">
        <v>12</v>
      </c>
      <c r="E283" s="9" t="s">
        <v>20</v>
      </c>
      <c r="F283" s="9" t="s">
        <v>74</v>
      </c>
      <c r="G283" s="9">
        <v>291.75</v>
      </c>
      <c r="H283" s="9">
        <v>4</v>
      </c>
      <c r="I283" s="9">
        <v>1167</v>
      </c>
      <c r="J283" s="9">
        <v>0.19</v>
      </c>
      <c r="K283" s="9">
        <v>-149.59999999999999</v>
      </c>
      <c r="L283" s="9" t="s">
        <v>72</v>
      </c>
      <c r="M283" s="9" t="str">
        <f t="shared" si="0"/>
        <v>10-20%</v>
      </c>
    </row>
    <row r="284">
      <c r="A284" s="10">
        <v>45054</v>
      </c>
      <c r="B284" s="9" t="s">
        <v>358</v>
      </c>
      <c r="C284" s="9" t="s">
        <v>15</v>
      </c>
      <c r="D284" s="9" t="s">
        <v>9</v>
      </c>
      <c r="E284" s="9" t="s">
        <v>22</v>
      </c>
      <c r="F284" s="9" t="s">
        <v>125</v>
      </c>
      <c r="G284" s="9">
        <v>273.16000000000003</v>
      </c>
      <c r="H284" s="9">
        <v>12</v>
      </c>
      <c r="I284" s="9">
        <v>3277.9200000000001</v>
      </c>
      <c r="J284" s="9">
        <v>0.040000000000000001</v>
      </c>
      <c r="K284" s="9">
        <v>140.05000000000001</v>
      </c>
      <c r="L284" s="9" t="s">
        <v>55</v>
      </c>
      <c r="M284" s="9" t="str">
        <f t="shared" si="0"/>
        <v>10-20%</v>
      </c>
    </row>
    <row r="285">
      <c r="A285" s="10">
        <v>45074</v>
      </c>
      <c r="B285" s="9" t="s">
        <v>359</v>
      </c>
      <c r="C285" s="9" t="s">
        <v>14</v>
      </c>
      <c r="D285" s="9" t="s">
        <v>12</v>
      </c>
      <c r="E285" s="9" t="s">
        <v>19</v>
      </c>
      <c r="F285" s="9" t="s">
        <v>98</v>
      </c>
      <c r="G285" s="9">
        <v>339.69</v>
      </c>
      <c r="H285" s="9">
        <v>14</v>
      </c>
      <c r="I285" s="9">
        <v>4755.6599999999999</v>
      </c>
      <c r="J285" s="9">
        <v>0.14000000000000001</v>
      </c>
      <c r="K285" s="9">
        <v>410.22000000000003</v>
      </c>
      <c r="L285" s="9" t="s">
        <v>55</v>
      </c>
      <c r="M285" s="9" t="str">
        <f t="shared" si="0"/>
        <v>0-10%</v>
      </c>
    </row>
    <row r="286">
      <c r="A286" s="10">
        <v>45208</v>
      </c>
      <c r="B286" s="9" t="s">
        <v>360</v>
      </c>
      <c r="C286" s="9" t="s">
        <v>15</v>
      </c>
      <c r="D286" s="9" t="s">
        <v>11</v>
      </c>
      <c r="E286" s="9" t="s">
        <v>22</v>
      </c>
      <c r="F286" s="9" t="s">
        <v>71</v>
      </c>
      <c r="G286" s="9">
        <v>256.02999999999997</v>
      </c>
      <c r="H286" s="9">
        <v>15</v>
      </c>
      <c r="I286" s="9">
        <v>3840.4499999999998</v>
      </c>
      <c r="J286" s="9">
        <v>0.040000000000000001</v>
      </c>
      <c r="K286" s="9">
        <v>750.71000000000004</v>
      </c>
      <c r="L286" s="9" t="s">
        <v>63</v>
      </c>
      <c r="M286" s="9" t="str">
        <f t="shared" si="0"/>
        <v>10-20%</v>
      </c>
    </row>
    <row r="287">
      <c r="A287" s="10">
        <v>45074</v>
      </c>
      <c r="B287" s="9" t="s">
        <v>361</v>
      </c>
      <c r="C287" s="9" t="s">
        <v>15</v>
      </c>
      <c r="D287" s="9" t="s">
        <v>10</v>
      </c>
      <c r="E287" s="9" t="s">
        <v>22</v>
      </c>
      <c r="F287" s="9" t="s">
        <v>84</v>
      </c>
      <c r="G287" s="9">
        <v>494.91000000000003</v>
      </c>
      <c r="H287" s="9">
        <v>15</v>
      </c>
      <c r="I287" s="9">
        <v>7423.6499999999996</v>
      </c>
      <c r="J287" s="9">
        <v>0.059999999999999998</v>
      </c>
      <c r="K287" s="9">
        <v>908.70000000000005</v>
      </c>
      <c r="L287" s="9" t="s">
        <v>55</v>
      </c>
      <c r="M287" s="9" t="str">
        <f t="shared" si="0"/>
        <v>0-10%</v>
      </c>
    </row>
    <row r="288">
      <c r="A288" s="10">
        <v>45077</v>
      </c>
      <c r="B288" s="9" t="s">
        <v>362</v>
      </c>
      <c r="C288" s="9" t="s">
        <v>14</v>
      </c>
      <c r="D288" s="9" t="s">
        <v>8</v>
      </c>
      <c r="E288" s="9" t="s">
        <v>22</v>
      </c>
      <c r="F288" s="9" t="s">
        <v>125</v>
      </c>
      <c r="G288" s="9">
        <v>377.60000000000002</v>
      </c>
      <c r="H288" s="9">
        <v>10</v>
      </c>
      <c r="I288" s="9">
        <v>3776</v>
      </c>
      <c r="J288" s="9">
        <v>0.23000000000000001</v>
      </c>
      <c r="K288" s="9">
        <v>-113.23</v>
      </c>
      <c r="L288" s="9" t="s">
        <v>63</v>
      </c>
      <c r="M288" s="9" t="str">
        <f t="shared" si="0"/>
        <v>0-10%</v>
      </c>
    </row>
    <row r="289">
      <c r="A289" s="10">
        <v>44935</v>
      </c>
      <c r="B289" s="9" t="s">
        <v>363</v>
      </c>
      <c r="C289" s="9" t="s">
        <v>17</v>
      </c>
      <c r="D289" s="9" t="s">
        <v>12</v>
      </c>
      <c r="E289" s="9" t="s">
        <v>21</v>
      </c>
      <c r="F289" s="9" t="s">
        <v>76</v>
      </c>
      <c r="G289" s="9">
        <v>65.299999999999997</v>
      </c>
      <c r="H289" s="9">
        <v>8</v>
      </c>
      <c r="I289" s="9">
        <v>522.39999999999998</v>
      </c>
      <c r="J289" s="9">
        <v>0.01</v>
      </c>
      <c r="K289" s="9">
        <v>111.67</v>
      </c>
      <c r="L289" s="9" t="s">
        <v>58</v>
      </c>
      <c r="M289" s="9" t="str">
        <f t="shared" si="0"/>
        <v>20%+</v>
      </c>
    </row>
    <row r="290">
      <c r="A290" s="10">
        <v>45134</v>
      </c>
      <c r="B290" s="9" t="s">
        <v>364</v>
      </c>
      <c r="C290" s="9" t="s">
        <v>14</v>
      </c>
      <c r="D290" s="9" t="s">
        <v>11</v>
      </c>
      <c r="E290" s="9" t="s">
        <v>19</v>
      </c>
      <c r="F290" s="9" t="s">
        <v>98</v>
      </c>
      <c r="G290" s="9">
        <v>178.19</v>
      </c>
      <c r="H290" s="9">
        <v>11</v>
      </c>
      <c r="I290" s="9">
        <v>1960.0899999999999</v>
      </c>
      <c r="J290" s="9">
        <v>0.11</v>
      </c>
      <c r="K290" s="9">
        <v>262.52999999999997</v>
      </c>
      <c r="L290" s="9" t="s">
        <v>63</v>
      </c>
      <c r="M290" s="9" t="str">
        <f t="shared" si="0"/>
        <v>0-10%</v>
      </c>
    </row>
    <row r="291">
      <c r="A291" s="10">
        <v>44977</v>
      </c>
      <c r="B291" s="9" t="s">
        <v>365</v>
      </c>
      <c r="C291" s="9" t="s">
        <v>15</v>
      </c>
      <c r="D291" s="9" t="s">
        <v>9</v>
      </c>
      <c r="E291" s="9" t="s">
        <v>22</v>
      </c>
      <c r="F291" s="9" t="s">
        <v>84</v>
      </c>
      <c r="G291" s="9">
        <v>446.92000000000002</v>
      </c>
      <c r="H291" s="9">
        <v>13</v>
      </c>
      <c r="I291" s="9">
        <v>5809.96</v>
      </c>
      <c r="J291" s="9">
        <v>0.040000000000000001</v>
      </c>
      <c r="K291" s="9">
        <v>771.64999999999998</v>
      </c>
      <c r="L291" s="9" t="s">
        <v>63</v>
      </c>
      <c r="M291" s="9" t="str">
        <f t="shared" si="0"/>
        <v>10-20%</v>
      </c>
    </row>
    <row r="292">
      <c r="A292" s="10">
        <v>45055</v>
      </c>
      <c r="B292" s="9" t="s">
        <v>366</v>
      </c>
      <c r="C292" s="9" t="s">
        <v>15</v>
      </c>
      <c r="D292" s="9" t="s">
        <v>12</v>
      </c>
      <c r="E292" s="9" t="s">
        <v>21</v>
      </c>
      <c r="F292" s="9" t="s">
        <v>88</v>
      </c>
      <c r="G292" s="9">
        <v>116.33</v>
      </c>
      <c r="H292" s="9">
        <v>8</v>
      </c>
      <c r="I292" s="9">
        <v>930.63999999999999</v>
      </c>
      <c r="J292" s="9">
        <v>0</v>
      </c>
      <c r="K292" s="9">
        <v>53.310000000000002</v>
      </c>
      <c r="L292" s="9" t="s">
        <v>63</v>
      </c>
      <c r="M292" s="9" t="str">
        <f t="shared" si="0"/>
        <v>0-10%</v>
      </c>
    </row>
    <row r="293">
      <c r="A293" s="10">
        <v>44946</v>
      </c>
      <c r="B293" s="9" t="s">
        <v>367</v>
      </c>
      <c r="C293" s="9" t="s">
        <v>14</v>
      </c>
      <c r="D293" s="9" t="s">
        <v>12</v>
      </c>
      <c r="E293" s="9" t="s">
        <v>19</v>
      </c>
      <c r="F293" s="9" t="s">
        <v>67</v>
      </c>
      <c r="G293" s="9">
        <v>37.719999999999999</v>
      </c>
      <c r="H293" s="9">
        <v>15</v>
      </c>
      <c r="I293" s="9">
        <v>565.79999999999995</v>
      </c>
      <c r="J293" s="9">
        <v>0.12</v>
      </c>
      <c r="K293" s="9">
        <v>59.520000000000003</v>
      </c>
      <c r="L293" s="9" t="s">
        <v>72</v>
      </c>
      <c r="M293" s="9" t="str">
        <f t="shared" si="0"/>
        <v>0-10%</v>
      </c>
    </row>
    <row r="294">
      <c r="A294" s="10">
        <v>45082</v>
      </c>
      <c r="B294" s="9" t="s">
        <v>368</v>
      </c>
      <c r="C294" s="9" t="s">
        <v>14</v>
      </c>
      <c r="D294" s="9" t="s">
        <v>8</v>
      </c>
      <c r="E294" s="9" t="s">
        <v>22</v>
      </c>
      <c r="F294" s="9" t="s">
        <v>110</v>
      </c>
      <c r="G294" s="9">
        <v>141.58000000000001</v>
      </c>
      <c r="H294" s="9">
        <v>5</v>
      </c>
      <c r="I294" s="9">
        <v>707.89999999999998</v>
      </c>
      <c r="J294" s="9">
        <v>0.28999999999999998</v>
      </c>
      <c r="K294" s="9">
        <v>-48.200000000000003</v>
      </c>
      <c r="L294" s="9" t="s">
        <v>58</v>
      </c>
      <c r="M294" s="9" t="str">
        <f t="shared" si="0"/>
        <v>10-20%</v>
      </c>
    </row>
    <row r="295">
      <c r="A295" s="10">
        <v>44962</v>
      </c>
      <c r="B295" s="9" t="s">
        <v>369</v>
      </c>
      <c r="C295" s="9" t="s">
        <v>15</v>
      </c>
      <c r="D295" s="9" t="s">
        <v>9</v>
      </c>
      <c r="E295" s="9" t="s">
        <v>20</v>
      </c>
      <c r="F295" s="9" t="s">
        <v>74</v>
      </c>
      <c r="G295" s="9">
        <v>216.68000000000001</v>
      </c>
      <c r="H295" s="9">
        <v>2</v>
      </c>
      <c r="I295" s="9">
        <v>433.36000000000001</v>
      </c>
      <c r="J295" s="9">
        <v>0.28999999999999998</v>
      </c>
      <c r="K295" s="9">
        <v>-87.430000000000007</v>
      </c>
      <c r="L295" s="9" t="s">
        <v>72</v>
      </c>
      <c r="M295" s="9" t="str">
        <f t="shared" si="0"/>
        <v>20%+</v>
      </c>
    </row>
    <row r="296">
      <c r="A296" s="10">
        <v>44951</v>
      </c>
      <c r="B296" s="9" t="s">
        <v>370</v>
      </c>
      <c r="C296" s="9" t="s">
        <v>16</v>
      </c>
      <c r="D296" s="9" t="s">
        <v>8</v>
      </c>
      <c r="E296" s="9" t="s">
        <v>20</v>
      </c>
      <c r="F296" s="9" t="s">
        <v>69</v>
      </c>
      <c r="G296" s="9">
        <v>243.44</v>
      </c>
      <c r="H296" s="9">
        <v>8</v>
      </c>
      <c r="I296" s="9">
        <v>1947.52</v>
      </c>
      <c r="J296" s="9">
        <v>0.080000000000000002</v>
      </c>
      <c r="K296" s="9">
        <v>287.79000000000002</v>
      </c>
      <c r="L296" s="9" t="s">
        <v>55</v>
      </c>
      <c r="M296" s="9" t="str">
        <f t="shared" si="0"/>
        <v>20%+</v>
      </c>
    </row>
    <row r="297">
      <c r="A297" s="10">
        <v>45008</v>
      </c>
      <c r="B297" s="9" t="s">
        <v>371</v>
      </c>
      <c r="C297" s="9" t="s">
        <v>16</v>
      </c>
      <c r="D297" s="9" t="s">
        <v>10</v>
      </c>
      <c r="E297" s="9" t="s">
        <v>20</v>
      </c>
      <c r="F297" s="9" t="s">
        <v>101</v>
      </c>
      <c r="G297" s="9">
        <v>265.57999999999998</v>
      </c>
      <c r="H297" s="9">
        <v>13</v>
      </c>
      <c r="I297" s="9">
        <v>3452.54</v>
      </c>
      <c r="J297" s="9">
        <v>0.20000000000000001</v>
      </c>
      <c r="K297" s="9">
        <v>149.59</v>
      </c>
      <c r="L297" s="9" t="s">
        <v>58</v>
      </c>
      <c r="M297" s="9" t="str">
        <f t="shared" si="0"/>
        <v>0-10%</v>
      </c>
    </row>
    <row r="298">
      <c r="A298" s="10">
        <v>45074</v>
      </c>
      <c r="B298" s="9" t="s">
        <v>372</v>
      </c>
      <c r="C298" s="9" t="s">
        <v>16</v>
      </c>
      <c r="D298" s="9" t="s">
        <v>11</v>
      </c>
      <c r="E298" s="9" t="s">
        <v>22</v>
      </c>
      <c r="F298" s="9" t="s">
        <v>71</v>
      </c>
      <c r="G298" s="9">
        <v>70.150000000000006</v>
      </c>
      <c r="H298" s="9">
        <v>15</v>
      </c>
      <c r="I298" s="9">
        <v>1052.25</v>
      </c>
      <c r="J298" s="9">
        <v>0.089999999999999997</v>
      </c>
      <c r="K298" s="9">
        <v>127.72</v>
      </c>
      <c r="L298" s="9" t="s">
        <v>72</v>
      </c>
      <c r="M298" s="9" t="str">
        <f t="shared" si="0"/>
        <v>10-20%</v>
      </c>
    </row>
    <row r="299">
      <c r="A299" s="10">
        <v>45286</v>
      </c>
      <c r="B299" s="9" t="s">
        <v>373</v>
      </c>
      <c r="C299" s="9" t="s">
        <v>14</v>
      </c>
      <c r="D299" s="9" t="s">
        <v>9</v>
      </c>
      <c r="E299" s="9" t="s">
        <v>21</v>
      </c>
      <c r="F299" s="9" t="s">
        <v>76</v>
      </c>
      <c r="G299" s="9">
        <v>396.61000000000001</v>
      </c>
      <c r="H299" s="9">
        <v>9</v>
      </c>
      <c r="I299" s="9">
        <v>3569.4899999999998</v>
      </c>
      <c r="J299" s="9">
        <v>0.059999999999999998</v>
      </c>
      <c r="K299" s="9">
        <v>213.69999999999999</v>
      </c>
      <c r="L299" s="9" t="s">
        <v>58</v>
      </c>
      <c r="M299" s="9" t="str">
        <f t="shared" si="0"/>
        <v>0-10%</v>
      </c>
    </row>
    <row r="300">
      <c r="A300" s="10">
        <v>45013</v>
      </c>
      <c r="B300" s="9" t="s">
        <v>374</v>
      </c>
      <c r="C300" s="9" t="s">
        <v>15</v>
      </c>
      <c r="D300" s="9" t="s">
        <v>10</v>
      </c>
      <c r="E300" s="9" t="s">
        <v>20</v>
      </c>
      <c r="F300" s="9" t="s">
        <v>74</v>
      </c>
      <c r="G300" s="9">
        <v>273.94999999999999</v>
      </c>
      <c r="H300" s="9">
        <v>6</v>
      </c>
      <c r="I300" s="9">
        <v>1643.7</v>
      </c>
      <c r="J300" s="9">
        <v>0.26000000000000001</v>
      </c>
      <c r="K300" s="9">
        <v>-140.58000000000001</v>
      </c>
      <c r="L300" s="9" t="s">
        <v>58</v>
      </c>
      <c r="M300" s="9" t="str">
        <f t="shared" si="0"/>
        <v>0-10%</v>
      </c>
    </row>
    <row r="301">
      <c r="A301" s="10">
        <v>45140</v>
      </c>
      <c r="B301" s="9" t="s">
        <v>375</v>
      </c>
      <c r="C301" s="9" t="s">
        <v>17</v>
      </c>
      <c r="D301" s="9" t="s">
        <v>9</v>
      </c>
      <c r="E301" s="9" t="s">
        <v>22</v>
      </c>
      <c r="F301" s="9" t="s">
        <v>54</v>
      </c>
      <c r="G301" s="9">
        <v>390.32999999999998</v>
      </c>
      <c r="H301" s="9">
        <v>11</v>
      </c>
      <c r="I301" s="9">
        <v>4293.6300000000001</v>
      </c>
      <c r="J301" s="9">
        <v>0.01</v>
      </c>
      <c r="K301" s="9">
        <v>422.24000000000001</v>
      </c>
      <c r="L301" s="9" t="s">
        <v>72</v>
      </c>
      <c r="M301" s="9" t="str">
        <f t="shared" si="0"/>
        <v>20%+</v>
      </c>
    </row>
    <row r="302">
      <c r="A302" s="10">
        <v>45257</v>
      </c>
      <c r="B302" s="9" t="s">
        <v>376</v>
      </c>
      <c r="C302" s="9" t="s">
        <v>14</v>
      </c>
      <c r="D302" s="9" t="s">
        <v>11</v>
      </c>
      <c r="E302" s="9" t="s">
        <v>22</v>
      </c>
      <c r="F302" s="9" t="s">
        <v>84</v>
      </c>
      <c r="G302" s="9">
        <v>383.47000000000003</v>
      </c>
      <c r="H302" s="9">
        <v>9</v>
      </c>
      <c r="I302" s="9">
        <v>3451.23</v>
      </c>
      <c r="J302" s="9">
        <v>0.070000000000000007</v>
      </c>
      <c r="K302" s="9">
        <v>309.98000000000002</v>
      </c>
      <c r="L302" s="9" t="s">
        <v>63</v>
      </c>
      <c r="M302" s="9" t="str">
        <f t="shared" si="0"/>
        <v>0-10%</v>
      </c>
    </row>
    <row r="303">
      <c r="A303" s="10">
        <v>45115</v>
      </c>
      <c r="B303" s="9" t="s">
        <v>377</v>
      </c>
      <c r="C303" s="9" t="s">
        <v>16</v>
      </c>
      <c r="D303" s="9" t="s">
        <v>11</v>
      </c>
      <c r="E303" s="9" t="s">
        <v>20</v>
      </c>
      <c r="F303" s="9" t="s">
        <v>101</v>
      </c>
      <c r="G303" s="9">
        <v>484.00999999999999</v>
      </c>
      <c r="H303" s="9">
        <v>5</v>
      </c>
      <c r="I303" s="9">
        <v>2420.0500000000002</v>
      </c>
      <c r="J303" s="9">
        <v>0.23000000000000001</v>
      </c>
      <c r="K303" s="9">
        <v>-409.86000000000001</v>
      </c>
      <c r="L303" s="9" t="s">
        <v>55</v>
      </c>
      <c r="M303" s="9" t="str">
        <f t="shared" si="0"/>
        <v>0-10%</v>
      </c>
    </row>
    <row r="304">
      <c r="A304" s="10">
        <v>45099</v>
      </c>
      <c r="B304" s="9" t="s">
        <v>378</v>
      </c>
      <c r="C304" s="9" t="s">
        <v>16</v>
      </c>
      <c r="D304" s="9" t="s">
        <v>11</v>
      </c>
      <c r="E304" s="9" t="s">
        <v>20</v>
      </c>
      <c r="F304" s="9" t="s">
        <v>65</v>
      </c>
      <c r="G304" s="9">
        <v>279.82999999999998</v>
      </c>
      <c r="H304" s="9">
        <v>13</v>
      </c>
      <c r="I304" s="9">
        <v>3637.79</v>
      </c>
      <c r="J304" s="9">
        <v>0.14999999999999999</v>
      </c>
      <c r="K304" s="9">
        <v>-74.409999999999997</v>
      </c>
      <c r="L304" s="9" t="s">
        <v>55</v>
      </c>
      <c r="M304" s="9" t="str">
        <f t="shared" si="0"/>
        <v>20%+</v>
      </c>
    </row>
    <row r="305">
      <c r="A305" s="10">
        <v>45199</v>
      </c>
      <c r="B305" s="9" t="s">
        <v>379</v>
      </c>
      <c r="C305" s="9" t="s">
        <v>16</v>
      </c>
      <c r="D305" s="9" t="s">
        <v>12</v>
      </c>
      <c r="E305" s="9" t="s">
        <v>20</v>
      </c>
      <c r="F305" s="9" t="s">
        <v>65</v>
      </c>
      <c r="G305" s="9">
        <v>464.39999999999998</v>
      </c>
      <c r="H305" s="9">
        <v>10</v>
      </c>
      <c r="I305" s="9">
        <v>4644</v>
      </c>
      <c r="J305" s="9">
        <v>0.11</v>
      </c>
      <c r="K305" s="9">
        <v>333.31999999999999</v>
      </c>
      <c r="L305" s="9" t="s">
        <v>72</v>
      </c>
      <c r="M305" s="9" t="str">
        <f t="shared" si="0"/>
        <v>10-20%</v>
      </c>
    </row>
    <row r="306">
      <c r="A306" s="10">
        <v>45260</v>
      </c>
      <c r="B306" s="9" t="s">
        <v>380</v>
      </c>
      <c r="C306" s="9" t="s">
        <v>16</v>
      </c>
      <c r="D306" s="9" t="s">
        <v>12</v>
      </c>
      <c r="E306" s="9" t="s">
        <v>20</v>
      </c>
      <c r="F306" s="9" t="s">
        <v>69</v>
      </c>
      <c r="G306" s="9">
        <v>334.26999999999998</v>
      </c>
      <c r="H306" s="9">
        <v>12</v>
      </c>
      <c r="I306" s="9">
        <v>4011.2399999999998</v>
      </c>
      <c r="J306" s="9">
        <v>0.01</v>
      </c>
      <c r="K306" s="9">
        <v>416.68000000000001</v>
      </c>
      <c r="L306" s="9" t="s">
        <v>55</v>
      </c>
      <c r="M306" s="9" t="str">
        <f t="shared" si="0"/>
        <v>10-20%</v>
      </c>
    </row>
    <row r="307">
      <c r="A307" s="10">
        <v>45049</v>
      </c>
      <c r="B307" s="9" t="s">
        <v>381</v>
      </c>
      <c r="C307" s="9" t="s">
        <v>14</v>
      </c>
      <c r="D307" s="9" t="s">
        <v>9</v>
      </c>
      <c r="E307" s="9" t="s">
        <v>21</v>
      </c>
      <c r="F307" s="9" t="s">
        <v>82</v>
      </c>
      <c r="G307" s="9">
        <v>430.56999999999999</v>
      </c>
      <c r="H307" s="9">
        <v>7</v>
      </c>
      <c r="I307" s="9">
        <v>3013.9899999999998</v>
      </c>
      <c r="J307" s="9">
        <v>0.070000000000000007</v>
      </c>
      <c r="K307" s="9">
        <v>81.319999999999993</v>
      </c>
      <c r="L307" s="9" t="s">
        <v>58</v>
      </c>
      <c r="M307" s="9" t="str">
        <f t="shared" si="0"/>
        <v>0-10%</v>
      </c>
    </row>
    <row r="308">
      <c r="A308" s="10">
        <v>45211</v>
      </c>
      <c r="B308" s="9" t="s">
        <v>382</v>
      </c>
      <c r="C308" s="9" t="s">
        <v>17</v>
      </c>
      <c r="D308" s="9" t="s">
        <v>10</v>
      </c>
      <c r="E308" s="9" t="s">
        <v>20</v>
      </c>
      <c r="F308" s="9" t="s">
        <v>74</v>
      </c>
      <c r="G308" s="9">
        <v>232.33000000000001</v>
      </c>
      <c r="H308" s="9">
        <v>8</v>
      </c>
      <c r="I308" s="9">
        <v>1858.6400000000001</v>
      </c>
      <c r="J308" s="9">
        <v>0.02</v>
      </c>
      <c r="K308" s="9">
        <v>194.25999999999999</v>
      </c>
      <c r="L308" s="9" t="s">
        <v>55</v>
      </c>
      <c r="M308" s="9" t="str">
        <f t="shared" si="0"/>
        <v>0-10%</v>
      </c>
    </row>
    <row r="309">
      <c r="A309" s="10">
        <v>45240</v>
      </c>
      <c r="B309" s="9" t="s">
        <v>383</v>
      </c>
      <c r="C309" s="9" t="s">
        <v>17</v>
      </c>
      <c r="D309" s="9" t="s">
        <v>11</v>
      </c>
      <c r="E309" s="9" t="s">
        <v>20</v>
      </c>
      <c r="F309" s="9" t="s">
        <v>80</v>
      </c>
      <c r="G309" s="9">
        <v>379.82999999999998</v>
      </c>
      <c r="H309" s="9">
        <v>9</v>
      </c>
      <c r="I309" s="9">
        <v>3418.4699999999998</v>
      </c>
      <c r="J309" s="9">
        <v>0.059999999999999998</v>
      </c>
      <c r="K309" s="9">
        <v>366.83999999999997</v>
      </c>
      <c r="L309" s="9" t="s">
        <v>63</v>
      </c>
      <c r="M309" s="9" t="str">
        <f t="shared" si="0"/>
        <v>0-10%</v>
      </c>
    </row>
    <row r="310">
      <c r="A310" s="10">
        <v>45043</v>
      </c>
      <c r="B310" s="9" t="s">
        <v>384</v>
      </c>
      <c r="C310" s="9" t="s">
        <v>15</v>
      </c>
      <c r="D310" s="9" t="s">
        <v>9</v>
      </c>
      <c r="E310" s="9" t="s">
        <v>19</v>
      </c>
      <c r="F310" s="9" t="s">
        <v>62</v>
      </c>
      <c r="G310" s="9">
        <v>423.55000000000001</v>
      </c>
      <c r="H310" s="9">
        <v>14</v>
      </c>
      <c r="I310" s="9">
        <v>5929.6999999999998</v>
      </c>
      <c r="J310" s="9">
        <v>0.089999999999999997</v>
      </c>
      <c r="K310" s="9">
        <v>896.32000000000005</v>
      </c>
      <c r="L310" s="9" t="s">
        <v>58</v>
      </c>
      <c r="M310" s="9" t="str">
        <f t="shared" si="0"/>
        <v>0-10%</v>
      </c>
    </row>
    <row r="311">
      <c r="A311" s="10">
        <v>45095</v>
      </c>
      <c r="B311" s="9" t="s">
        <v>385</v>
      </c>
      <c r="C311" s="9" t="s">
        <v>16</v>
      </c>
      <c r="D311" s="9" t="s">
        <v>12</v>
      </c>
      <c r="E311" s="9" t="s">
        <v>19</v>
      </c>
      <c r="F311" s="9" t="s">
        <v>60</v>
      </c>
      <c r="G311" s="9">
        <v>199.25</v>
      </c>
      <c r="H311" s="9">
        <v>7</v>
      </c>
      <c r="I311" s="9">
        <v>1394.75</v>
      </c>
      <c r="J311" s="9">
        <v>0.23999999999999999</v>
      </c>
      <c r="K311" s="9">
        <v>-11.74</v>
      </c>
      <c r="L311" s="9" t="s">
        <v>58</v>
      </c>
      <c r="M311" s="9" t="str">
        <f t="shared" si="0"/>
        <v>0-10%</v>
      </c>
    </row>
    <row r="312">
      <c r="A312" s="10">
        <v>45012</v>
      </c>
      <c r="B312" s="9" t="s">
        <v>386</v>
      </c>
      <c r="C312" s="9" t="s">
        <v>16</v>
      </c>
      <c r="D312" s="9" t="s">
        <v>9</v>
      </c>
      <c r="E312" s="9" t="s">
        <v>19</v>
      </c>
      <c r="F312" s="9" t="s">
        <v>62</v>
      </c>
      <c r="G312" s="9">
        <v>41.75</v>
      </c>
      <c r="H312" s="9">
        <v>10</v>
      </c>
      <c r="I312" s="9">
        <v>417.5</v>
      </c>
      <c r="J312" s="9">
        <v>0.029999999999999999</v>
      </c>
      <c r="K312" s="9">
        <v>37.030000000000001</v>
      </c>
      <c r="L312" s="9" t="s">
        <v>58</v>
      </c>
      <c r="M312" s="9" t="str">
        <f t="shared" si="0"/>
        <v>20%+</v>
      </c>
    </row>
    <row r="313">
      <c r="A313" s="10">
        <v>45246</v>
      </c>
      <c r="B313" s="9" t="s">
        <v>387</v>
      </c>
      <c r="C313" s="9" t="s">
        <v>17</v>
      </c>
      <c r="D313" s="9" t="s">
        <v>8</v>
      </c>
      <c r="E313" s="9" t="s">
        <v>21</v>
      </c>
      <c r="F313" s="9" t="s">
        <v>78</v>
      </c>
      <c r="G313" s="9">
        <v>68.650000000000006</v>
      </c>
      <c r="H313" s="9">
        <v>2</v>
      </c>
      <c r="I313" s="9">
        <v>137.30000000000001</v>
      </c>
      <c r="J313" s="9">
        <v>0</v>
      </c>
      <c r="K313" s="9">
        <v>7.4500000000000002</v>
      </c>
      <c r="L313" s="9" t="s">
        <v>55</v>
      </c>
      <c r="M313" s="9" t="str">
        <f t="shared" si="0"/>
        <v>0-10%</v>
      </c>
    </row>
    <row r="314">
      <c r="A314" s="10">
        <v>45069</v>
      </c>
      <c r="B314" s="9" t="s">
        <v>388</v>
      </c>
      <c r="C314" s="9" t="s">
        <v>17</v>
      </c>
      <c r="D314" s="9" t="s">
        <v>12</v>
      </c>
      <c r="E314" s="9" t="s">
        <v>19</v>
      </c>
      <c r="F314" s="9" t="s">
        <v>62</v>
      </c>
      <c r="G314" s="9">
        <v>494.20999999999998</v>
      </c>
      <c r="H314" s="9">
        <v>7</v>
      </c>
      <c r="I314" s="9">
        <v>3459.4699999999998</v>
      </c>
      <c r="J314" s="9">
        <v>0.17000000000000001</v>
      </c>
      <c r="K314" s="9">
        <v>-8.9600000000000009</v>
      </c>
      <c r="L314" s="9" t="s">
        <v>72</v>
      </c>
      <c r="M314" s="9" t="str">
        <f t="shared" si="0"/>
        <v>0-10%</v>
      </c>
    </row>
    <row r="315">
      <c r="A315" s="10">
        <v>45070</v>
      </c>
      <c r="B315" s="9" t="s">
        <v>389</v>
      </c>
      <c r="C315" s="9" t="s">
        <v>16</v>
      </c>
      <c r="D315" s="9" t="s">
        <v>10</v>
      </c>
      <c r="E315" s="9" t="s">
        <v>20</v>
      </c>
      <c r="F315" s="9" t="s">
        <v>69</v>
      </c>
      <c r="G315" s="9">
        <v>301.19</v>
      </c>
      <c r="H315" s="9">
        <v>12</v>
      </c>
      <c r="I315" s="9">
        <v>3614.2800000000002</v>
      </c>
      <c r="J315" s="9">
        <v>0.26000000000000001</v>
      </c>
      <c r="K315" s="9">
        <v>-335.87</v>
      </c>
      <c r="L315" s="9" t="s">
        <v>55</v>
      </c>
      <c r="M315" s="9" t="str">
        <f t="shared" si="0"/>
        <v>10-20%</v>
      </c>
    </row>
    <row r="316">
      <c r="A316" s="10">
        <v>45269</v>
      </c>
      <c r="B316" s="9" t="s">
        <v>390</v>
      </c>
      <c r="C316" s="9" t="s">
        <v>17</v>
      </c>
      <c r="D316" s="9" t="s">
        <v>10</v>
      </c>
      <c r="E316" s="9" t="s">
        <v>22</v>
      </c>
      <c r="F316" s="9" t="s">
        <v>54</v>
      </c>
      <c r="G316" s="9">
        <v>486.62</v>
      </c>
      <c r="H316" s="9">
        <v>13</v>
      </c>
      <c r="I316" s="9">
        <v>6326.0600000000004</v>
      </c>
      <c r="J316" s="9">
        <v>0.10000000000000001</v>
      </c>
      <c r="K316" s="9">
        <v>-107.02</v>
      </c>
      <c r="L316" s="9" t="s">
        <v>55</v>
      </c>
      <c r="M316" s="9" t="str">
        <f t="shared" si="0"/>
        <v>20%+</v>
      </c>
    </row>
    <row r="317">
      <c r="A317" s="10">
        <v>45279</v>
      </c>
      <c r="B317" s="9" t="s">
        <v>391</v>
      </c>
      <c r="C317" s="9" t="s">
        <v>15</v>
      </c>
      <c r="D317" s="9" t="s">
        <v>12</v>
      </c>
      <c r="E317" s="9" t="s">
        <v>21</v>
      </c>
      <c r="F317" s="9" t="s">
        <v>96</v>
      </c>
      <c r="G317" s="9">
        <v>477.12</v>
      </c>
      <c r="H317" s="9">
        <v>7</v>
      </c>
      <c r="I317" s="9">
        <v>3339.8400000000001</v>
      </c>
      <c r="J317" s="9">
        <v>0.029999999999999999</v>
      </c>
      <c r="K317" s="9">
        <v>731.24000000000001</v>
      </c>
      <c r="L317" s="9" t="s">
        <v>58</v>
      </c>
      <c r="M317" s="9" t="str">
        <f t="shared" si="0"/>
        <v>0-10%</v>
      </c>
    </row>
    <row r="318">
      <c r="A318" s="10">
        <v>45089</v>
      </c>
      <c r="B318" s="9" t="s">
        <v>392</v>
      </c>
      <c r="C318" s="9" t="s">
        <v>14</v>
      </c>
      <c r="D318" s="9" t="s">
        <v>12</v>
      </c>
      <c r="E318" s="9" t="s">
        <v>19</v>
      </c>
      <c r="F318" s="9" t="s">
        <v>98</v>
      </c>
      <c r="G318" s="9">
        <v>452.39999999999998</v>
      </c>
      <c r="H318" s="9">
        <v>3</v>
      </c>
      <c r="I318" s="9">
        <v>1357.2</v>
      </c>
      <c r="J318" s="9">
        <v>0.19</v>
      </c>
      <c r="K318" s="9">
        <v>-147.91</v>
      </c>
      <c r="L318" s="9" t="s">
        <v>58</v>
      </c>
      <c r="M318" s="9" t="str">
        <f t="shared" si="0"/>
        <v>0-10%</v>
      </c>
    </row>
    <row r="319">
      <c r="A319" s="10">
        <v>45176</v>
      </c>
      <c r="B319" s="9" t="s">
        <v>393</v>
      </c>
      <c r="C319" s="9" t="s">
        <v>17</v>
      </c>
      <c r="D319" s="9" t="s">
        <v>9</v>
      </c>
      <c r="E319" s="9" t="s">
        <v>20</v>
      </c>
      <c r="F319" s="9" t="s">
        <v>80</v>
      </c>
      <c r="G319" s="9">
        <v>400.60000000000002</v>
      </c>
      <c r="H319" s="9">
        <v>13</v>
      </c>
      <c r="I319" s="9">
        <v>5207.8000000000002</v>
      </c>
      <c r="J319" s="9">
        <v>0.050000000000000003</v>
      </c>
      <c r="K319" s="9">
        <v>606.08000000000004</v>
      </c>
      <c r="L319" s="9" t="s">
        <v>72</v>
      </c>
      <c r="M319" s="9" t="str">
        <f t="shared" si="0"/>
        <v>10-20%</v>
      </c>
    </row>
    <row r="320">
      <c r="A320" s="10">
        <v>45233</v>
      </c>
      <c r="B320" s="9" t="s">
        <v>394</v>
      </c>
      <c r="C320" s="9" t="s">
        <v>16</v>
      </c>
      <c r="D320" s="9" t="s">
        <v>9</v>
      </c>
      <c r="E320" s="9" t="s">
        <v>19</v>
      </c>
      <c r="F320" s="9" t="s">
        <v>62</v>
      </c>
      <c r="G320" s="9">
        <v>66.849999999999994</v>
      </c>
      <c r="H320" s="9">
        <v>1</v>
      </c>
      <c r="I320" s="9">
        <v>66.849999999999994</v>
      </c>
      <c r="J320" s="9">
        <v>0</v>
      </c>
      <c r="K320" s="9">
        <v>5.8399999999999999</v>
      </c>
      <c r="L320" s="9" t="s">
        <v>58</v>
      </c>
      <c r="M320" s="9" t="str">
        <f t="shared" si="0"/>
        <v>0-10%</v>
      </c>
    </row>
    <row r="321">
      <c r="A321" s="10">
        <v>45186</v>
      </c>
      <c r="B321" s="9" t="s">
        <v>395</v>
      </c>
      <c r="C321" s="9" t="s">
        <v>16</v>
      </c>
      <c r="D321" s="9" t="s">
        <v>8</v>
      </c>
      <c r="E321" s="9" t="s">
        <v>20</v>
      </c>
      <c r="F321" s="9" t="s">
        <v>101</v>
      </c>
      <c r="G321" s="9">
        <v>157.25</v>
      </c>
      <c r="H321" s="9">
        <v>14</v>
      </c>
      <c r="I321" s="9">
        <v>2201.5</v>
      </c>
      <c r="J321" s="9">
        <v>0.23000000000000001</v>
      </c>
      <c r="K321" s="9">
        <v>-220.24000000000001</v>
      </c>
      <c r="L321" s="9" t="s">
        <v>72</v>
      </c>
      <c r="M321" s="9" t="str">
        <f t="shared" si="0"/>
        <v>0-10%</v>
      </c>
    </row>
    <row r="322">
      <c r="A322" s="10">
        <v>45240</v>
      </c>
      <c r="B322" s="9" t="s">
        <v>396</v>
      </c>
      <c r="C322" s="9" t="s">
        <v>15</v>
      </c>
      <c r="D322" s="9" t="s">
        <v>11</v>
      </c>
      <c r="E322" s="9" t="s">
        <v>19</v>
      </c>
      <c r="F322" s="9" t="s">
        <v>57</v>
      </c>
      <c r="G322" s="9">
        <v>428.12</v>
      </c>
      <c r="H322" s="9">
        <v>12</v>
      </c>
      <c r="I322" s="9">
        <v>5137.4399999999996</v>
      </c>
      <c r="J322" s="9">
        <v>0.14000000000000001</v>
      </c>
      <c r="K322" s="9">
        <v>428.24000000000001</v>
      </c>
      <c r="L322" s="9" t="s">
        <v>55</v>
      </c>
      <c r="M322" s="9" t="str">
        <f t="shared" si="0"/>
        <v>20%+</v>
      </c>
    </row>
    <row r="323">
      <c r="A323" s="10">
        <v>45164</v>
      </c>
      <c r="B323" s="9" t="s">
        <v>397</v>
      </c>
      <c r="C323" s="9" t="s">
        <v>16</v>
      </c>
      <c r="D323" s="9" t="s">
        <v>9</v>
      </c>
      <c r="E323" s="9" t="s">
        <v>19</v>
      </c>
      <c r="F323" s="9" t="s">
        <v>60</v>
      </c>
      <c r="G323" s="9">
        <v>376.04000000000002</v>
      </c>
      <c r="H323" s="9">
        <v>13</v>
      </c>
      <c r="I323" s="9">
        <v>4888.5200000000004</v>
      </c>
      <c r="J323" s="9">
        <v>0.22</v>
      </c>
      <c r="K323" s="9">
        <v>-654.97000000000003</v>
      </c>
      <c r="L323" s="9" t="s">
        <v>58</v>
      </c>
      <c r="M323" s="9" t="str">
        <f t="shared" si="0"/>
        <v>10-20%</v>
      </c>
    </row>
    <row r="324">
      <c r="A324" s="10">
        <v>44978</v>
      </c>
      <c r="B324" s="9" t="s">
        <v>398</v>
      </c>
      <c r="C324" s="9" t="s">
        <v>15</v>
      </c>
      <c r="D324" s="9" t="s">
        <v>11</v>
      </c>
      <c r="E324" s="9" t="s">
        <v>21</v>
      </c>
      <c r="F324" s="9" t="s">
        <v>88</v>
      </c>
      <c r="G324" s="9">
        <v>233.28</v>
      </c>
      <c r="H324" s="9">
        <v>2</v>
      </c>
      <c r="I324" s="9">
        <v>466.56</v>
      </c>
      <c r="J324" s="9">
        <v>0.23000000000000001</v>
      </c>
      <c r="K324" s="9">
        <v>-50.57</v>
      </c>
      <c r="L324" s="9" t="s">
        <v>58</v>
      </c>
      <c r="M324" s="9" t="str">
        <f t="shared" si="0"/>
        <v>20%+</v>
      </c>
    </row>
    <row r="325">
      <c r="A325" s="10">
        <v>45020</v>
      </c>
      <c r="B325" s="9" t="s">
        <v>399</v>
      </c>
      <c r="C325" s="9" t="s">
        <v>14</v>
      </c>
      <c r="D325" s="9" t="s">
        <v>8</v>
      </c>
      <c r="E325" s="9" t="s">
        <v>21</v>
      </c>
      <c r="F325" s="9" t="s">
        <v>82</v>
      </c>
      <c r="G325" s="9">
        <v>268.94</v>
      </c>
      <c r="H325" s="9">
        <v>6</v>
      </c>
      <c r="I325" s="9">
        <v>1613.6400000000001</v>
      </c>
      <c r="J325" s="9">
        <v>0.01</v>
      </c>
      <c r="K325" s="9">
        <v>302.79000000000002</v>
      </c>
      <c r="L325" s="9" t="s">
        <v>55</v>
      </c>
      <c r="M325" s="9" t="str">
        <f t="shared" si="0"/>
        <v>20%+</v>
      </c>
    </row>
    <row r="326">
      <c r="A326" s="10">
        <v>44948</v>
      </c>
      <c r="B326" s="9" t="s">
        <v>400</v>
      </c>
      <c r="C326" s="9" t="s">
        <v>14</v>
      </c>
      <c r="D326" s="9" t="s">
        <v>8</v>
      </c>
      <c r="E326" s="9" t="s">
        <v>21</v>
      </c>
      <c r="F326" s="9" t="s">
        <v>78</v>
      </c>
      <c r="G326" s="9">
        <v>479.51999999999998</v>
      </c>
      <c r="H326" s="9">
        <v>9</v>
      </c>
      <c r="I326" s="9">
        <v>4315.6800000000003</v>
      </c>
      <c r="J326" s="9">
        <v>0.029999999999999999</v>
      </c>
      <c r="K326" s="9">
        <v>294.94</v>
      </c>
      <c r="L326" s="9" t="s">
        <v>72</v>
      </c>
      <c r="M326" s="9" t="str">
        <f t="shared" si="0"/>
        <v>0-10%</v>
      </c>
    </row>
    <row r="327">
      <c r="A327" s="10">
        <v>45072</v>
      </c>
      <c r="B327" s="9" t="s">
        <v>401</v>
      </c>
      <c r="C327" s="9" t="s">
        <v>15</v>
      </c>
      <c r="D327" s="9" t="s">
        <v>10</v>
      </c>
      <c r="E327" s="9" t="s">
        <v>21</v>
      </c>
      <c r="F327" s="9" t="s">
        <v>96</v>
      </c>
      <c r="G327" s="9">
        <v>195.31999999999999</v>
      </c>
      <c r="H327" s="9">
        <v>14</v>
      </c>
      <c r="I327" s="9">
        <v>2734.48</v>
      </c>
      <c r="J327" s="9">
        <v>0.13</v>
      </c>
      <c r="K327" s="9">
        <v>4.9800000000000004</v>
      </c>
      <c r="L327" s="9" t="s">
        <v>58</v>
      </c>
      <c r="M327" s="9" t="str">
        <f t="shared" si="0"/>
        <v>0-10%</v>
      </c>
    </row>
    <row r="328">
      <c r="A328" s="10">
        <v>45159</v>
      </c>
      <c r="B328" s="9" t="s">
        <v>402</v>
      </c>
      <c r="C328" s="9" t="s">
        <v>14</v>
      </c>
      <c r="D328" s="9" t="s">
        <v>8</v>
      </c>
      <c r="E328" s="9" t="s">
        <v>19</v>
      </c>
      <c r="F328" s="9" t="s">
        <v>98</v>
      </c>
      <c r="G328" s="9">
        <v>233.16999999999999</v>
      </c>
      <c r="H328" s="9">
        <v>12</v>
      </c>
      <c r="I328" s="9">
        <v>2798.04</v>
      </c>
      <c r="J328" s="9">
        <v>0.14999999999999999</v>
      </c>
      <c r="K328" s="9">
        <v>-164.66</v>
      </c>
      <c r="L328" s="9" t="s">
        <v>55</v>
      </c>
      <c r="M328" s="9" t="str">
        <f t="shared" si="0"/>
        <v>10-20%</v>
      </c>
    </row>
    <row r="329">
      <c r="A329" s="10">
        <v>45012</v>
      </c>
      <c r="B329" s="9" t="s">
        <v>403</v>
      </c>
      <c r="C329" s="9" t="s">
        <v>14</v>
      </c>
      <c r="D329" s="9" t="s">
        <v>11</v>
      </c>
      <c r="E329" s="9" t="s">
        <v>22</v>
      </c>
      <c r="F329" s="9" t="s">
        <v>54</v>
      </c>
      <c r="G329" s="9">
        <v>427.93000000000001</v>
      </c>
      <c r="H329" s="9">
        <v>11</v>
      </c>
      <c r="I329" s="9">
        <v>4707.2299999999996</v>
      </c>
      <c r="J329" s="9">
        <v>0.22</v>
      </c>
      <c r="K329" s="9">
        <v>-630.26999999999998</v>
      </c>
      <c r="L329" s="9" t="s">
        <v>58</v>
      </c>
      <c r="M329" s="9" t="str">
        <f t="shared" si="0"/>
        <v>10-20%</v>
      </c>
    </row>
    <row r="330">
      <c r="A330" s="10">
        <v>45289</v>
      </c>
      <c r="B330" s="9" t="s">
        <v>404</v>
      </c>
      <c r="C330" s="9" t="s">
        <v>15</v>
      </c>
      <c r="D330" s="9" t="s">
        <v>8</v>
      </c>
      <c r="E330" s="9" t="s">
        <v>20</v>
      </c>
      <c r="F330" s="9" t="s">
        <v>101</v>
      </c>
      <c r="G330" s="9">
        <v>307.97000000000003</v>
      </c>
      <c r="H330" s="9">
        <v>14</v>
      </c>
      <c r="I330" s="9">
        <v>4311.5799999999999</v>
      </c>
      <c r="J330" s="9">
        <v>0.20000000000000001</v>
      </c>
      <c r="K330" s="9">
        <v>62.060000000000002</v>
      </c>
      <c r="L330" s="9" t="s">
        <v>55</v>
      </c>
      <c r="M330" s="9" t="str">
        <f t="shared" si="0"/>
        <v>20%+</v>
      </c>
    </row>
    <row r="331">
      <c r="A331" s="10">
        <v>45178</v>
      </c>
      <c r="B331" s="9" t="s">
        <v>405</v>
      </c>
      <c r="C331" s="9" t="s">
        <v>14</v>
      </c>
      <c r="D331" s="9" t="s">
        <v>8</v>
      </c>
      <c r="E331" s="9" t="s">
        <v>21</v>
      </c>
      <c r="F331" s="9" t="s">
        <v>76</v>
      </c>
      <c r="G331" s="9">
        <v>122.09999999999999</v>
      </c>
      <c r="H331" s="9">
        <v>4</v>
      </c>
      <c r="I331" s="9">
        <v>488.39999999999998</v>
      </c>
      <c r="J331" s="9">
        <v>0.17999999999999999</v>
      </c>
      <c r="K331" s="9">
        <v>5.4699999999999998</v>
      </c>
      <c r="L331" s="9" t="s">
        <v>72</v>
      </c>
      <c r="M331" s="9" t="str">
        <f t="shared" si="0"/>
        <v>10-20%</v>
      </c>
    </row>
    <row r="332">
      <c r="A332" s="10">
        <v>45269</v>
      </c>
      <c r="B332" s="9" t="s">
        <v>406</v>
      </c>
      <c r="C332" s="9" t="s">
        <v>16</v>
      </c>
      <c r="D332" s="9" t="s">
        <v>10</v>
      </c>
      <c r="E332" s="9" t="s">
        <v>20</v>
      </c>
      <c r="F332" s="9" t="s">
        <v>69</v>
      </c>
      <c r="G332" s="9">
        <v>199.09</v>
      </c>
      <c r="H332" s="9">
        <v>11</v>
      </c>
      <c r="I332" s="9">
        <v>2189.9899999999998</v>
      </c>
      <c r="J332" s="9">
        <v>0.26000000000000001</v>
      </c>
      <c r="K332" s="9">
        <v>-226.65000000000001</v>
      </c>
      <c r="L332" s="9" t="s">
        <v>63</v>
      </c>
      <c r="M332" s="9" t="str">
        <f t="shared" si="0"/>
        <v>10-20%</v>
      </c>
    </row>
    <row r="333">
      <c r="A333" s="10">
        <v>45179</v>
      </c>
      <c r="B333" s="9" t="s">
        <v>407</v>
      </c>
      <c r="C333" s="9" t="s">
        <v>14</v>
      </c>
      <c r="D333" s="9" t="s">
        <v>12</v>
      </c>
      <c r="E333" s="9" t="s">
        <v>20</v>
      </c>
      <c r="F333" s="9" t="s">
        <v>74</v>
      </c>
      <c r="G333" s="9">
        <v>103.73</v>
      </c>
      <c r="H333" s="9">
        <v>11</v>
      </c>
      <c r="I333" s="9">
        <v>1141.03</v>
      </c>
      <c r="J333" s="9">
        <v>0.070000000000000007</v>
      </c>
      <c r="K333" s="9">
        <v>107.45999999999999</v>
      </c>
      <c r="L333" s="9" t="s">
        <v>58</v>
      </c>
      <c r="M333" s="9" t="str">
        <f t="shared" si="0"/>
        <v>20%+</v>
      </c>
    </row>
    <row r="334">
      <c r="A334" s="10">
        <v>45280</v>
      </c>
      <c r="B334" s="9" t="s">
        <v>408</v>
      </c>
      <c r="C334" s="9" t="s">
        <v>17</v>
      </c>
      <c r="D334" s="9" t="s">
        <v>11</v>
      </c>
      <c r="E334" s="9" t="s">
        <v>21</v>
      </c>
      <c r="F334" s="9" t="s">
        <v>82</v>
      </c>
      <c r="G334" s="9">
        <v>303.08999999999997</v>
      </c>
      <c r="H334" s="9">
        <v>14</v>
      </c>
      <c r="I334" s="9">
        <v>4243.2600000000002</v>
      </c>
      <c r="J334" s="9">
        <v>0.13</v>
      </c>
      <c r="K334" s="9">
        <v>407.62</v>
      </c>
      <c r="L334" s="9" t="s">
        <v>55</v>
      </c>
      <c r="M334" s="9" t="str">
        <f t="shared" si="0"/>
        <v>0-10%</v>
      </c>
    </row>
    <row r="335">
      <c r="A335" s="10">
        <v>44991</v>
      </c>
      <c r="B335" s="9" t="s">
        <v>409</v>
      </c>
      <c r="C335" s="9" t="s">
        <v>15</v>
      </c>
      <c r="D335" s="9" t="s">
        <v>8</v>
      </c>
      <c r="E335" s="9" t="s">
        <v>19</v>
      </c>
      <c r="F335" s="9" t="s">
        <v>60</v>
      </c>
      <c r="G335" s="9">
        <v>423.95999999999998</v>
      </c>
      <c r="H335" s="9">
        <v>14</v>
      </c>
      <c r="I335" s="9">
        <v>5935.4399999999996</v>
      </c>
      <c r="J335" s="9">
        <v>0.22</v>
      </c>
      <c r="K335" s="9">
        <v>-383.56</v>
      </c>
      <c r="L335" s="9" t="s">
        <v>63</v>
      </c>
      <c r="M335" s="9" t="str">
        <f t="shared" si="0"/>
        <v>10-20%</v>
      </c>
    </row>
    <row r="336">
      <c r="A336" s="10">
        <v>45068</v>
      </c>
      <c r="B336" s="9" t="s">
        <v>410</v>
      </c>
      <c r="C336" s="9" t="s">
        <v>15</v>
      </c>
      <c r="D336" s="9" t="s">
        <v>10</v>
      </c>
      <c r="E336" s="9" t="s">
        <v>19</v>
      </c>
      <c r="F336" s="9" t="s">
        <v>60</v>
      </c>
      <c r="G336" s="9">
        <v>189.19</v>
      </c>
      <c r="H336" s="9">
        <v>11</v>
      </c>
      <c r="I336" s="9">
        <v>2081.0900000000001</v>
      </c>
      <c r="J336" s="9">
        <v>0.080000000000000002</v>
      </c>
      <c r="K336" s="9">
        <v>307.01999999999998</v>
      </c>
      <c r="L336" s="9" t="s">
        <v>63</v>
      </c>
      <c r="M336" s="9" t="str">
        <f t="shared" si="0"/>
        <v>20%+</v>
      </c>
    </row>
    <row r="337">
      <c r="A337" s="10">
        <v>44988</v>
      </c>
      <c r="B337" s="9" t="s">
        <v>411</v>
      </c>
      <c r="C337" s="9" t="s">
        <v>15</v>
      </c>
      <c r="D337" s="9" t="s">
        <v>10</v>
      </c>
      <c r="E337" s="9" t="s">
        <v>19</v>
      </c>
      <c r="F337" s="9" t="s">
        <v>60</v>
      </c>
      <c r="G337" s="9">
        <v>86.409999999999997</v>
      </c>
      <c r="H337" s="9">
        <v>5</v>
      </c>
      <c r="I337" s="9">
        <v>432.05000000000001</v>
      </c>
      <c r="J337" s="9">
        <v>0.28000000000000003</v>
      </c>
      <c r="K337" s="9">
        <v>-93.019999999999996</v>
      </c>
      <c r="L337" s="9" t="s">
        <v>72</v>
      </c>
      <c r="M337" s="9" t="str">
        <f t="shared" si="0"/>
        <v>0-10%</v>
      </c>
    </row>
    <row r="338">
      <c r="A338" s="10">
        <v>45019</v>
      </c>
      <c r="B338" s="9" t="s">
        <v>412</v>
      </c>
      <c r="C338" s="9" t="s">
        <v>17</v>
      </c>
      <c r="D338" s="9" t="s">
        <v>12</v>
      </c>
      <c r="E338" s="9" t="s">
        <v>19</v>
      </c>
      <c r="F338" s="9" t="s">
        <v>67</v>
      </c>
      <c r="G338" s="9">
        <v>10.710000000000001</v>
      </c>
      <c r="H338" s="9">
        <v>10</v>
      </c>
      <c r="I338" s="9">
        <v>107.09999999999999</v>
      </c>
      <c r="J338" s="9">
        <v>0</v>
      </c>
      <c r="K338" s="9">
        <v>10.31</v>
      </c>
      <c r="L338" s="9" t="s">
        <v>63</v>
      </c>
      <c r="M338" s="9" t="str">
        <f t="shared" si="0"/>
        <v>20%+</v>
      </c>
    </row>
    <row r="339">
      <c r="A339" s="10">
        <v>45288</v>
      </c>
      <c r="B339" s="9" t="s">
        <v>413</v>
      </c>
      <c r="C339" s="9" t="s">
        <v>17</v>
      </c>
      <c r="D339" s="9" t="s">
        <v>12</v>
      </c>
      <c r="E339" s="9" t="s">
        <v>21</v>
      </c>
      <c r="F339" s="9" t="s">
        <v>96</v>
      </c>
      <c r="G339" s="9">
        <v>321.49000000000001</v>
      </c>
      <c r="H339" s="9">
        <v>11</v>
      </c>
      <c r="I339" s="9">
        <v>3536.3899999999999</v>
      </c>
      <c r="J339" s="9">
        <v>0.080000000000000002</v>
      </c>
      <c r="K339" s="9">
        <v>525.28999999999996</v>
      </c>
      <c r="L339" s="9" t="s">
        <v>63</v>
      </c>
      <c r="M339" s="9" t="str">
        <f t="shared" si="0"/>
        <v>0-10%</v>
      </c>
    </row>
    <row r="340">
      <c r="A340" s="10">
        <v>45263</v>
      </c>
      <c r="B340" s="9" t="s">
        <v>414</v>
      </c>
      <c r="C340" s="9" t="s">
        <v>17</v>
      </c>
      <c r="D340" s="9" t="s">
        <v>12</v>
      </c>
      <c r="E340" s="9" t="s">
        <v>20</v>
      </c>
      <c r="F340" s="9" t="s">
        <v>69</v>
      </c>
      <c r="G340" s="9">
        <v>48.810000000000002</v>
      </c>
      <c r="H340" s="9">
        <v>2</v>
      </c>
      <c r="I340" s="9">
        <v>97.620000000000005</v>
      </c>
      <c r="J340" s="9">
        <v>0</v>
      </c>
      <c r="K340" s="9">
        <v>9.8200000000000003</v>
      </c>
      <c r="L340" s="9" t="s">
        <v>72</v>
      </c>
      <c r="M340" s="9" t="str">
        <f t="shared" si="0"/>
        <v>0-10%</v>
      </c>
    </row>
    <row r="341">
      <c r="A341" s="10">
        <v>45284</v>
      </c>
      <c r="B341" s="9" t="s">
        <v>415</v>
      </c>
      <c r="C341" s="9" t="s">
        <v>16</v>
      </c>
      <c r="D341" s="9" t="s">
        <v>10</v>
      </c>
      <c r="E341" s="9" t="s">
        <v>22</v>
      </c>
      <c r="F341" s="9" t="s">
        <v>71</v>
      </c>
      <c r="G341" s="9">
        <v>285.37</v>
      </c>
      <c r="H341" s="9">
        <v>2</v>
      </c>
      <c r="I341" s="9">
        <v>570.74000000000001</v>
      </c>
      <c r="J341" s="9">
        <v>0.14000000000000001</v>
      </c>
      <c r="K341" s="9">
        <v>40.719999999999999</v>
      </c>
      <c r="L341" s="9" t="s">
        <v>72</v>
      </c>
      <c r="M341" s="9" t="str">
        <f t="shared" si="0"/>
        <v>0-10%</v>
      </c>
    </row>
    <row r="342">
      <c r="A342" s="10">
        <v>44944</v>
      </c>
      <c r="B342" s="9" t="s">
        <v>416</v>
      </c>
      <c r="C342" s="9" t="s">
        <v>14</v>
      </c>
      <c r="D342" s="9" t="s">
        <v>8</v>
      </c>
      <c r="E342" s="9" t="s">
        <v>20</v>
      </c>
      <c r="F342" s="9" t="s">
        <v>69</v>
      </c>
      <c r="G342" s="9">
        <v>46.640000000000001</v>
      </c>
      <c r="H342" s="9">
        <v>14</v>
      </c>
      <c r="I342" s="9">
        <v>652.96000000000004</v>
      </c>
      <c r="J342" s="9">
        <v>0.02</v>
      </c>
      <c r="K342" s="9">
        <v>29.870000000000001</v>
      </c>
      <c r="L342" s="9" t="s">
        <v>55</v>
      </c>
      <c r="M342" s="9" t="str">
        <f t="shared" si="0"/>
        <v>10-20%</v>
      </c>
    </row>
    <row r="343">
      <c r="A343" s="10">
        <v>45083</v>
      </c>
      <c r="B343" s="9" t="s">
        <v>417</v>
      </c>
      <c r="C343" s="9" t="s">
        <v>15</v>
      </c>
      <c r="D343" s="9" t="s">
        <v>11</v>
      </c>
      <c r="E343" s="9" t="s">
        <v>20</v>
      </c>
      <c r="F343" s="9" t="s">
        <v>65</v>
      </c>
      <c r="G343" s="9">
        <v>469.38999999999999</v>
      </c>
      <c r="H343" s="9">
        <v>9</v>
      </c>
      <c r="I343" s="9">
        <v>4224.5100000000002</v>
      </c>
      <c r="J343" s="9">
        <v>0.28000000000000003</v>
      </c>
      <c r="K343" s="9">
        <v>-882.98000000000002</v>
      </c>
      <c r="L343" s="9" t="s">
        <v>55</v>
      </c>
      <c r="M343" s="9" t="str">
        <f t="shared" si="0"/>
        <v>0-10%</v>
      </c>
    </row>
    <row r="344">
      <c r="A344" s="10">
        <v>45042</v>
      </c>
      <c r="B344" s="9" t="s">
        <v>418</v>
      </c>
      <c r="C344" s="9" t="s">
        <v>16</v>
      </c>
      <c r="D344" s="9" t="s">
        <v>9</v>
      </c>
      <c r="E344" s="9" t="s">
        <v>20</v>
      </c>
      <c r="F344" s="9" t="s">
        <v>80</v>
      </c>
      <c r="G344" s="9">
        <v>323.36000000000001</v>
      </c>
      <c r="H344" s="9">
        <v>5</v>
      </c>
      <c r="I344" s="9">
        <v>1616.8</v>
      </c>
      <c r="J344" s="9">
        <v>0.12</v>
      </c>
      <c r="K344" s="9">
        <v>201.28999999999999</v>
      </c>
      <c r="L344" s="9" t="s">
        <v>72</v>
      </c>
      <c r="M344" s="9" t="str">
        <f t="shared" si="0"/>
        <v>20%+</v>
      </c>
    </row>
    <row r="345">
      <c r="A345" s="10">
        <v>45194</v>
      </c>
      <c r="B345" s="9" t="s">
        <v>419</v>
      </c>
      <c r="C345" s="9" t="s">
        <v>16</v>
      </c>
      <c r="D345" s="9" t="s">
        <v>9</v>
      </c>
      <c r="E345" s="9" t="s">
        <v>20</v>
      </c>
      <c r="F345" s="9" t="s">
        <v>101</v>
      </c>
      <c r="G345" s="9">
        <v>97.530000000000001</v>
      </c>
      <c r="H345" s="9">
        <v>11</v>
      </c>
      <c r="I345" s="9">
        <v>1072.8299999999999</v>
      </c>
      <c r="J345" s="9">
        <v>0.20000000000000001</v>
      </c>
      <c r="K345" s="9">
        <v>-134.81</v>
      </c>
      <c r="L345" s="9" t="s">
        <v>63</v>
      </c>
      <c r="M345" s="9" t="str">
        <f t="shared" si="0"/>
        <v>10-20%</v>
      </c>
    </row>
    <row r="346">
      <c r="A346" s="10">
        <v>45144</v>
      </c>
      <c r="B346" s="9" t="s">
        <v>420</v>
      </c>
      <c r="C346" s="9" t="s">
        <v>17</v>
      </c>
      <c r="D346" s="9" t="s">
        <v>8</v>
      </c>
      <c r="E346" s="9" t="s">
        <v>21</v>
      </c>
      <c r="F346" s="9" t="s">
        <v>82</v>
      </c>
      <c r="G346" s="9">
        <v>269.49000000000001</v>
      </c>
      <c r="H346" s="9">
        <v>6</v>
      </c>
      <c r="I346" s="9">
        <v>1616.9400000000001</v>
      </c>
      <c r="J346" s="9">
        <v>0.11</v>
      </c>
      <c r="K346" s="9">
        <v>92.209999999999994</v>
      </c>
      <c r="L346" s="9" t="s">
        <v>58</v>
      </c>
      <c r="M346" s="9" t="str">
        <f t="shared" si="0"/>
        <v>10-20%</v>
      </c>
    </row>
    <row r="347">
      <c r="A347" s="10">
        <v>45160</v>
      </c>
      <c r="B347" s="9" t="s">
        <v>421</v>
      </c>
      <c r="C347" s="9" t="s">
        <v>15</v>
      </c>
      <c r="D347" s="9" t="s">
        <v>9</v>
      </c>
      <c r="E347" s="9" t="s">
        <v>22</v>
      </c>
      <c r="F347" s="9" t="s">
        <v>110</v>
      </c>
      <c r="G347" s="9">
        <v>469.56999999999999</v>
      </c>
      <c r="H347" s="9">
        <v>13</v>
      </c>
      <c r="I347" s="9">
        <v>6104.4099999999999</v>
      </c>
      <c r="J347" s="9">
        <v>0.029999999999999999</v>
      </c>
      <c r="K347" s="9">
        <v>791.62</v>
      </c>
      <c r="L347" s="9" t="s">
        <v>58</v>
      </c>
      <c r="M347" s="9" t="str">
        <f t="shared" si="0"/>
        <v>10-20%</v>
      </c>
    </row>
    <row r="348">
      <c r="A348" s="10">
        <v>45232</v>
      </c>
      <c r="B348" s="9" t="s">
        <v>422</v>
      </c>
      <c r="C348" s="9" t="s">
        <v>16</v>
      </c>
      <c r="D348" s="9" t="s">
        <v>10</v>
      </c>
      <c r="E348" s="9" t="s">
        <v>20</v>
      </c>
      <c r="F348" s="9" t="s">
        <v>101</v>
      </c>
      <c r="G348" s="9">
        <v>337.63</v>
      </c>
      <c r="H348" s="9">
        <v>1</v>
      </c>
      <c r="I348" s="9">
        <v>337.63</v>
      </c>
      <c r="J348" s="9">
        <v>0.27000000000000002</v>
      </c>
      <c r="K348" s="9">
        <v>-16.739999999999998</v>
      </c>
      <c r="L348" s="9" t="s">
        <v>63</v>
      </c>
      <c r="M348" s="9" t="str">
        <f t="shared" si="0"/>
        <v>0-10%</v>
      </c>
    </row>
    <row r="349">
      <c r="A349" s="10">
        <v>45075</v>
      </c>
      <c r="B349" s="9" t="s">
        <v>423</v>
      </c>
      <c r="C349" s="9" t="s">
        <v>16</v>
      </c>
      <c r="D349" s="9" t="s">
        <v>12</v>
      </c>
      <c r="E349" s="9" t="s">
        <v>20</v>
      </c>
      <c r="F349" s="9" t="s">
        <v>65</v>
      </c>
      <c r="G349" s="9">
        <v>391.26999999999998</v>
      </c>
      <c r="H349" s="9">
        <v>1</v>
      </c>
      <c r="I349" s="9">
        <v>391.26999999999998</v>
      </c>
      <c r="J349" s="9">
        <v>0.13</v>
      </c>
      <c r="K349" s="9">
        <v>15.710000000000001</v>
      </c>
      <c r="L349" s="9" t="s">
        <v>63</v>
      </c>
      <c r="M349" s="9" t="str">
        <f t="shared" si="0"/>
        <v>20%+</v>
      </c>
    </row>
    <row r="350">
      <c r="A350" s="10">
        <v>45067</v>
      </c>
      <c r="B350" s="9" t="s">
        <v>424</v>
      </c>
      <c r="C350" s="9" t="s">
        <v>15</v>
      </c>
      <c r="D350" s="9" t="s">
        <v>8</v>
      </c>
      <c r="E350" s="9" t="s">
        <v>19</v>
      </c>
      <c r="F350" s="9" t="s">
        <v>60</v>
      </c>
      <c r="G350" s="9">
        <v>222.50999999999999</v>
      </c>
      <c r="H350" s="9">
        <v>2</v>
      </c>
      <c r="I350" s="9">
        <v>445.01999999999998</v>
      </c>
      <c r="J350" s="9">
        <v>0.13</v>
      </c>
      <c r="K350" s="9">
        <v>-21.02</v>
      </c>
      <c r="L350" s="9" t="s">
        <v>63</v>
      </c>
      <c r="M350" s="9" t="str">
        <f t="shared" si="0"/>
        <v>10-20%</v>
      </c>
    </row>
    <row r="351">
      <c r="A351" s="10">
        <v>45021</v>
      </c>
      <c r="B351" s="9" t="s">
        <v>425</v>
      </c>
      <c r="C351" s="9" t="s">
        <v>16</v>
      </c>
      <c r="D351" s="9" t="s">
        <v>9</v>
      </c>
      <c r="E351" s="9" t="s">
        <v>21</v>
      </c>
      <c r="F351" s="9" t="s">
        <v>78</v>
      </c>
      <c r="G351" s="9">
        <v>153.46000000000001</v>
      </c>
      <c r="H351" s="9">
        <v>6</v>
      </c>
      <c r="I351" s="9">
        <v>920.75999999999999</v>
      </c>
      <c r="J351" s="9">
        <v>0.10000000000000001</v>
      </c>
      <c r="K351" s="9">
        <v>-45</v>
      </c>
      <c r="L351" s="9" t="s">
        <v>58</v>
      </c>
      <c r="M351" s="9" t="str">
        <f t="shared" si="0"/>
        <v>10-20%</v>
      </c>
    </row>
    <row r="352">
      <c r="A352" s="10">
        <v>45276</v>
      </c>
      <c r="B352" s="9" t="s">
        <v>426</v>
      </c>
      <c r="C352" s="9" t="s">
        <v>14</v>
      </c>
      <c r="D352" s="9" t="s">
        <v>8</v>
      </c>
      <c r="E352" s="9" t="s">
        <v>22</v>
      </c>
      <c r="F352" s="9" t="s">
        <v>71</v>
      </c>
      <c r="G352" s="9">
        <v>285.56</v>
      </c>
      <c r="H352" s="9">
        <v>5</v>
      </c>
      <c r="I352" s="9">
        <v>1427.8</v>
      </c>
      <c r="J352" s="9">
        <v>0.25</v>
      </c>
      <c r="K352" s="9">
        <v>-125.81999999999999</v>
      </c>
      <c r="L352" s="9" t="s">
        <v>72</v>
      </c>
      <c r="M352" s="9" t="str">
        <f t="shared" si="0"/>
        <v>0-10%</v>
      </c>
    </row>
    <row r="353">
      <c r="A353" s="10">
        <v>45286</v>
      </c>
      <c r="B353" s="9" t="s">
        <v>427</v>
      </c>
      <c r="C353" s="9" t="s">
        <v>14</v>
      </c>
      <c r="D353" s="9" t="s">
        <v>10</v>
      </c>
      <c r="E353" s="9" t="s">
        <v>22</v>
      </c>
      <c r="F353" s="9" t="s">
        <v>110</v>
      </c>
      <c r="G353" s="9">
        <v>145.22999999999999</v>
      </c>
      <c r="H353" s="9">
        <v>9</v>
      </c>
      <c r="I353" s="9">
        <v>1307.0699999999999</v>
      </c>
      <c r="J353" s="9">
        <v>0.17999999999999999</v>
      </c>
      <c r="K353" s="9">
        <v>61.82</v>
      </c>
      <c r="L353" s="9" t="s">
        <v>58</v>
      </c>
      <c r="M353" s="9" t="str">
        <f t="shared" si="0"/>
        <v>20%+</v>
      </c>
    </row>
    <row r="354">
      <c r="A354" s="10">
        <v>45008</v>
      </c>
      <c r="B354" s="9" t="s">
        <v>428</v>
      </c>
      <c r="C354" s="9" t="s">
        <v>15</v>
      </c>
      <c r="D354" s="9" t="s">
        <v>8</v>
      </c>
      <c r="E354" s="9" t="s">
        <v>19</v>
      </c>
      <c r="F354" s="9" t="s">
        <v>67</v>
      </c>
      <c r="G354" s="9">
        <v>361.33999999999997</v>
      </c>
      <c r="H354" s="9">
        <v>10</v>
      </c>
      <c r="I354" s="9">
        <v>3613.4000000000001</v>
      </c>
      <c r="J354" s="9">
        <v>0.13</v>
      </c>
      <c r="K354" s="9">
        <v>-120.2</v>
      </c>
      <c r="L354" s="9" t="s">
        <v>55</v>
      </c>
      <c r="M354" s="9" t="str">
        <f t="shared" si="0"/>
        <v>10-20%</v>
      </c>
    </row>
    <row r="355">
      <c r="A355" s="10">
        <v>44982</v>
      </c>
      <c r="B355" s="9" t="s">
        <v>429</v>
      </c>
      <c r="C355" s="9" t="s">
        <v>16</v>
      </c>
      <c r="D355" s="9" t="s">
        <v>11</v>
      </c>
      <c r="E355" s="9" t="s">
        <v>20</v>
      </c>
      <c r="F355" s="9" t="s">
        <v>80</v>
      </c>
      <c r="G355" s="9">
        <v>25.25</v>
      </c>
      <c r="H355" s="9">
        <v>14</v>
      </c>
      <c r="I355" s="9">
        <v>353.5</v>
      </c>
      <c r="J355" s="9">
        <v>0.20000000000000001</v>
      </c>
      <c r="K355" s="9">
        <v>-1.8700000000000001</v>
      </c>
      <c r="L355" s="9" t="s">
        <v>63</v>
      </c>
      <c r="M355" s="9" t="str">
        <f t="shared" si="0"/>
        <v>10-20%</v>
      </c>
    </row>
    <row r="356">
      <c r="A356" s="10">
        <v>45230</v>
      </c>
      <c r="B356" s="9" t="s">
        <v>430</v>
      </c>
      <c r="C356" s="9" t="s">
        <v>14</v>
      </c>
      <c r="D356" s="9" t="s">
        <v>10</v>
      </c>
      <c r="E356" s="9" t="s">
        <v>19</v>
      </c>
      <c r="F356" s="9" t="s">
        <v>67</v>
      </c>
      <c r="G356" s="9">
        <v>183.46000000000001</v>
      </c>
      <c r="H356" s="9">
        <v>15</v>
      </c>
      <c r="I356" s="9">
        <v>2751.9000000000001</v>
      </c>
      <c r="J356" s="9">
        <v>0.080000000000000002</v>
      </c>
      <c r="K356" s="9">
        <v>301.94999999999999</v>
      </c>
      <c r="L356" s="9" t="s">
        <v>63</v>
      </c>
      <c r="M356" s="9" t="str">
        <f t="shared" si="0"/>
        <v>10-20%</v>
      </c>
    </row>
    <row r="357">
      <c r="A357" s="10">
        <v>45187</v>
      </c>
      <c r="B357" s="9" t="s">
        <v>431</v>
      </c>
      <c r="C357" s="9" t="s">
        <v>15</v>
      </c>
      <c r="D357" s="9" t="s">
        <v>12</v>
      </c>
      <c r="E357" s="9" t="s">
        <v>19</v>
      </c>
      <c r="F357" s="9" t="s">
        <v>57</v>
      </c>
      <c r="G357" s="9">
        <v>439.05000000000001</v>
      </c>
      <c r="H357" s="9">
        <v>11</v>
      </c>
      <c r="I357" s="9">
        <v>4829.5500000000002</v>
      </c>
      <c r="J357" s="9">
        <v>0.23999999999999999</v>
      </c>
      <c r="K357" s="9">
        <v>-130.05000000000001</v>
      </c>
      <c r="L357" s="9" t="s">
        <v>58</v>
      </c>
      <c r="M357" s="9" t="str">
        <f t="shared" si="0"/>
        <v>0-10%</v>
      </c>
    </row>
    <row r="358">
      <c r="A358" s="10">
        <v>45257</v>
      </c>
      <c r="B358" s="9" t="s">
        <v>432</v>
      </c>
      <c r="C358" s="9" t="s">
        <v>15</v>
      </c>
      <c r="D358" s="9" t="s">
        <v>11</v>
      </c>
      <c r="E358" s="9" t="s">
        <v>20</v>
      </c>
      <c r="F358" s="9" t="s">
        <v>80</v>
      </c>
      <c r="G358" s="9">
        <v>54.729999999999997</v>
      </c>
      <c r="H358" s="9">
        <v>9</v>
      </c>
      <c r="I358" s="9">
        <v>492.56999999999999</v>
      </c>
      <c r="J358" s="9">
        <v>0.059999999999999998</v>
      </c>
      <c r="K358" s="9">
        <v>72.390000000000001</v>
      </c>
      <c r="L358" s="9" t="s">
        <v>55</v>
      </c>
      <c r="M358" s="9" t="str">
        <f t="shared" si="0"/>
        <v>20%+</v>
      </c>
    </row>
    <row r="359">
      <c r="A359" s="10">
        <v>45147</v>
      </c>
      <c r="B359" s="9" t="s">
        <v>433</v>
      </c>
      <c r="C359" s="9" t="s">
        <v>16</v>
      </c>
      <c r="D359" s="9" t="s">
        <v>9</v>
      </c>
      <c r="E359" s="9" t="s">
        <v>22</v>
      </c>
      <c r="F359" s="9" t="s">
        <v>110</v>
      </c>
      <c r="G359" s="9">
        <v>184.24000000000001</v>
      </c>
      <c r="H359" s="9">
        <v>2</v>
      </c>
      <c r="I359" s="9">
        <v>368.48000000000002</v>
      </c>
      <c r="J359" s="9">
        <v>0.12</v>
      </c>
      <c r="K359" s="9">
        <v>9.4600000000000009</v>
      </c>
      <c r="L359" s="9" t="s">
        <v>63</v>
      </c>
      <c r="M359" s="9" t="str">
        <f t="shared" si="0"/>
        <v>0-10%</v>
      </c>
    </row>
    <row r="360">
      <c r="A360" s="10">
        <v>45272</v>
      </c>
      <c r="B360" s="9" t="s">
        <v>434</v>
      </c>
      <c r="C360" s="9" t="s">
        <v>17</v>
      </c>
      <c r="D360" s="9" t="s">
        <v>9</v>
      </c>
      <c r="E360" s="9" t="s">
        <v>20</v>
      </c>
      <c r="F360" s="9" t="s">
        <v>101</v>
      </c>
      <c r="G360" s="9">
        <v>426.63</v>
      </c>
      <c r="H360" s="9">
        <v>11</v>
      </c>
      <c r="I360" s="9">
        <v>4692.9300000000003</v>
      </c>
      <c r="J360" s="9">
        <v>0.11</v>
      </c>
      <c r="K360" s="9">
        <v>-70.069999999999993</v>
      </c>
      <c r="L360" s="9" t="s">
        <v>63</v>
      </c>
      <c r="M360" s="9" t="str">
        <f t="shared" si="0"/>
        <v>10-20%</v>
      </c>
    </row>
    <row r="361">
      <c r="A361" s="10">
        <v>45141</v>
      </c>
      <c r="B361" s="9" t="s">
        <v>435</v>
      </c>
      <c r="C361" s="9" t="s">
        <v>16</v>
      </c>
      <c r="D361" s="9" t="s">
        <v>12</v>
      </c>
      <c r="E361" s="9" t="s">
        <v>20</v>
      </c>
      <c r="F361" s="9" t="s">
        <v>69</v>
      </c>
      <c r="G361" s="9">
        <v>242.5</v>
      </c>
      <c r="H361" s="9">
        <v>5</v>
      </c>
      <c r="I361" s="9">
        <v>1212.5</v>
      </c>
      <c r="J361" s="9">
        <v>0.040000000000000001</v>
      </c>
      <c r="K361" s="9">
        <v>43.890000000000001</v>
      </c>
      <c r="L361" s="9" t="s">
        <v>63</v>
      </c>
      <c r="M361" s="9" t="str">
        <f t="shared" si="0"/>
        <v>10-20%</v>
      </c>
    </row>
    <row r="362">
      <c r="A362" s="10">
        <v>45008</v>
      </c>
      <c r="B362" s="9" t="s">
        <v>436</v>
      </c>
      <c r="C362" s="9" t="s">
        <v>16</v>
      </c>
      <c r="D362" s="9" t="s">
        <v>12</v>
      </c>
      <c r="E362" s="9" t="s">
        <v>20</v>
      </c>
      <c r="F362" s="9" t="s">
        <v>69</v>
      </c>
      <c r="G362" s="9">
        <v>223.16</v>
      </c>
      <c r="H362" s="9">
        <v>7</v>
      </c>
      <c r="I362" s="9">
        <v>1562.1199999999999</v>
      </c>
      <c r="J362" s="9">
        <v>0.23999999999999999</v>
      </c>
      <c r="K362" s="9">
        <v>-225.72</v>
      </c>
      <c r="L362" s="9" t="s">
        <v>63</v>
      </c>
      <c r="M362" s="9" t="str">
        <f t="shared" si="0"/>
        <v>0-10%</v>
      </c>
    </row>
    <row r="363">
      <c r="A363" s="10">
        <v>44941</v>
      </c>
      <c r="B363" s="9" t="s">
        <v>437</v>
      </c>
      <c r="C363" s="9" t="s">
        <v>14</v>
      </c>
      <c r="D363" s="9" t="s">
        <v>12</v>
      </c>
      <c r="E363" s="9" t="s">
        <v>22</v>
      </c>
      <c r="F363" s="9" t="s">
        <v>54</v>
      </c>
      <c r="G363" s="9">
        <v>12.460000000000001</v>
      </c>
      <c r="H363" s="9">
        <v>2</v>
      </c>
      <c r="I363" s="9">
        <v>24.920000000000002</v>
      </c>
      <c r="J363" s="9">
        <v>0</v>
      </c>
      <c r="K363" s="9">
        <v>2.04</v>
      </c>
      <c r="L363" s="9" t="s">
        <v>58</v>
      </c>
      <c r="M363" s="9" t="str">
        <f t="shared" si="0"/>
        <v>20%+</v>
      </c>
    </row>
    <row r="364">
      <c r="A364" s="10">
        <v>44954</v>
      </c>
      <c r="B364" s="9" t="s">
        <v>438</v>
      </c>
      <c r="C364" s="9" t="s">
        <v>16</v>
      </c>
      <c r="D364" s="9" t="s">
        <v>8</v>
      </c>
      <c r="E364" s="9" t="s">
        <v>20</v>
      </c>
      <c r="F364" s="9" t="s">
        <v>65</v>
      </c>
      <c r="G364" s="9">
        <v>20.300000000000001</v>
      </c>
      <c r="H364" s="9">
        <v>15</v>
      </c>
      <c r="I364" s="9">
        <v>304.5</v>
      </c>
      <c r="J364" s="9">
        <v>0.16</v>
      </c>
      <c r="K364" s="9">
        <v>-16.329999999999998</v>
      </c>
      <c r="L364" s="9" t="s">
        <v>63</v>
      </c>
      <c r="M364" s="9" t="str">
        <f t="shared" si="0"/>
        <v>0-10%</v>
      </c>
    </row>
    <row r="365">
      <c r="A365" s="10">
        <v>45224</v>
      </c>
      <c r="B365" s="9" t="s">
        <v>439</v>
      </c>
      <c r="C365" s="9" t="s">
        <v>16</v>
      </c>
      <c r="D365" s="9" t="s">
        <v>10</v>
      </c>
      <c r="E365" s="9" t="s">
        <v>20</v>
      </c>
      <c r="F365" s="9" t="s">
        <v>80</v>
      </c>
      <c r="G365" s="9">
        <v>50.009999999999998</v>
      </c>
      <c r="H365" s="9">
        <v>8</v>
      </c>
      <c r="I365" s="9">
        <v>400.07999999999998</v>
      </c>
      <c r="J365" s="9">
        <v>0.050000000000000003</v>
      </c>
      <c r="K365" s="9">
        <v>37.969999999999999</v>
      </c>
      <c r="L365" s="9" t="s">
        <v>63</v>
      </c>
      <c r="M365" s="9" t="str">
        <f t="shared" si="0"/>
        <v>10-20%</v>
      </c>
    </row>
    <row r="366">
      <c r="A366" s="10">
        <v>45035</v>
      </c>
      <c r="B366" s="9" t="s">
        <v>440</v>
      </c>
      <c r="C366" s="9" t="s">
        <v>16</v>
      </c>
      <c r="D366" s="9" t="s">
        <v>8</v>
      </c>
      <c r="E366" s="9" t="s">
        <v>19</v>
      </c>
      <c r="F366" s="9" t="s">
        <v>57</v>
      </c>
      <c r="G366" s="9">
        <v>347.49000000000001</v>
      </c>
      <c r="H366" s="9">
        <v>2</v>
      </c>
      <c r="I366" s="9">
        <v>694.98000000000002</v>
      </c>
      <c r="J366" s="9">
        <v>0.19</v>
      </c>
      <c r="K366" s="9">
        <v>28.309999999999999</v>
      </c>
      <c r="L366" s="9" t="s">
        <v>55</v>
      </c>
      <c r="M366" s="9" t="str">
        <f t="shared" si="0"/>
        <v>0-10%</v>
      </c>
    </row>
    <row r="367">
      <c r="A367" s="10">
        <v>45215</v>
      </c>
      <c r="B367" s="9" t="s">
        <v>441</v>
      </c>
      <c r="C367" s="9" t="s">
        <v>15</v>
      </c>
      <c r="D367" s="9" t="s">
        <v>10</v>
      </c>
      <c r="E367" s="9" t="s">
        <v>21</v>
      </c>
      <c r="F367" s="9" t="s">
        <v>96</v>
      </c>
      <c r="G367" s="9">
        <v>181.5</v>
      </c>
      <c r="H367" s="9">
        <v>9</v>
      </c>
      <c r="I367" s="9">
        <v>1633.5</v>
      </c>
      <c r="J367" s="9">
        <v>0.01</v>
      </c>
      <c r="K367" s="9">
        <v>75.640000000000001</v>
      </c>
      <c r="L367" s="9" t="s">
        <v>72</v>
      </c>
      <c r="M367" s="9" t="str">
        <f t="shared" si="0"/>
        <v>10-20%</v>
      </c>
    </row>
    <row r="368">
      <c r="A368" s="10">
        <v>45244</v>
      </c>
      <c r="B368" s="9" t="s">
        <v>442</v>
      </c>
      <c r="C368" s="9" t="s">
        <v>16</v>
      </c>
      <c r="D368" s="9" t="s">
        <v>11</v>
      </c>
      <c r="E368" s="9" t="s">
        <v>22</v>
      </c>
      <c r="F368" s="9" t="s">
        <v>84</v>
      </c>
      <c r="G368" s="9">
        <v>219.44</v>
      </c>
      <c r="H368" s="9">
        <v>15</v>
      </c>
      <c r="I368" s="9">
        <v>3291.5999999999999</v>
      </c>
      <c r="J368" s="9">
        <v>0.01</v>
      </c>
      <c r="K368" s="9">
        <v>592.98000000000002</v>
      </c>
      <c r="L368" s="9" t="s">
        <v>58</v>
      </c>
      <c r="M368" s="9" t="str">
        <f t="shared" si="0"/>
        <v>0-10%</v>
      </c>
    </row>
    <row r="369">
      <c r="A369" s="10">
        <v>45084</v>
      </c>
      <c r="B369" s="9" t="s">
        <v>443</v>
      </c>
      <c r="C369" s="9" t="s">
        <v>16</v>
      </c>
      <c r="D369" s="9" t="s">
        <v>9</v>
      </c>
      <c r="E369" s="9" t="s">
        <v>19</v>
      </c>
      <c r="F369" s="9" t="s">
        <v>62</v>
      </c>
      <c r="G369" s="9">
        <v>273.27999999999997</v>
      </c>
      <c r="H369" s="9">
        <v>4</v>
      </c>
      <c r="I369" s="9">
        <v>1093.1199999999999</v>
      </c>
      <c r="J369" s="9">
        <v>0.070000000000000007</v>
      </c>
      <c r="K369" s="9">
        <v>132.41</v>
      </c>
      <c r="L369" s="9" t="s">
        <v>63</v>
      </c>
      <c r="M369" s="9" t="str">
        <f t="shared" si="0"/>
        <v>0-10%</v>
      </c>
    </row>
    <row r="370">
      <c r="A370" s="10">
        <v>45250</v>
      </c>
      <c r="B370" s="9" t="s">
        <v>444</v>
      </c>
      <c r="C370" s="9" t="s">
        <v>15</v>
      </c>
      <c r="D370" s="9" t="s">
        <v>10</v>
      </c>
      <c r="E370" s="9" t="s">
        <v>19</v>
      </c>
      <c r="F370" s="9" t="s">
        <v>98</v>
      </c>
      <c r="G370" s="9">
        <v>296.55000000000001</v>
      </c>
      <c r="H370" s="9">
        <v>4</v>
      </c>
      <c r="I370" s="9">
        <v>1186.2</v>
      </c>
      <c r="J370" s="9">
        <v>0.050000000000000003</v>
      </c>
      <c r="K370" s="9">
        <v>119.88</v>
      </c>
      <c r="L370" s="9" t="s">
        <v>58</v>
      </c>
      <c r="M370" s="9" t="str">
        <f t="shared" si="0"/>
        <v>0-10%</v>
      </c>
    </row>
    <row r="371">
      <c r="A371" s="10">
        <v>45246</v>
      </c>
      <c r="B371" s="9" t="s">
        <v>445</v>
      </c>
      <c r="C371" s="9" t="s">
        <v>17</v>
      </c>
      <c r="D371" s="9" t="s">
        <v>12</v>
      </c>
      <c r="E371" s="9" t="s">
        <v>21</v>
      </c>
      <c r="F371" s="9" t="s">
        <v>76</v>
      </c>
      <c r="G371" s="9">
        <v>467.62</v>
      </c>
      <c r="H371" s="9">
        <v>6</v>
      </c>
      <c r="I371" s="9">
        <v>2805.7199999999998</v>
      </c>
      <c r="J371" s="9">
        <v>0.14000000000000001</v>
      </c>
      <c r="K371" s="9">
        <v>32.759999999999998</v>
      </c>
      <c r="L371" s="9" t="s">
        <v>58</v>
      </c>
      <c r="M371" s="9" t="str">
        <f t="shared" si="0"/>
        <v>0-10%</v>
      </c>
    </row>
    <row r="372">
      <c r="A372" s="10">
        <v>45131</v>
      </c>
      <c r="B372" s="9" t="s">
        <v>446</v>
      </c>
      <c r="C372" s="9" t="s">
        <v>15</v>
      </c>
      <c r="D372" s="9" t="s">
        <v>8</v>
      </c>
      <c r="E372" s="9" t="s">
        <v>21</v>
      </c>
      <c r="F372" s="9" t="s">
        <v>88</v>
      </c>
      <c r="G372" s="9">
        <v>286.52999999999997</v>
      </c>
      <c r="H372" s="9">
        <v>1</v>
      </c>
      <c r="I372" s="9">
        <v>286.52999999999997</v>
      </c>
      <c r="J372" s="9">
        <v>0.27000000000000002</v>
      </c>
      <c r="K372" s="9">
        <v>-7.0599999999999996</v>
      </c>
      <c r="L372" s="9" t="s">
        <v>58</v>
      </c>
      <c r="M372" s="9" t="str">
        <f t="shared" si="0"/>
        <v>10-20%</v>
      </c>
    </row>
    <row r="373">
      <c r="A373" s="10">
        <v>45214</v>
      </c>
      <c r="B373" s="9" t="s">
        <v>447</v>
      </c>
      <c r="C373" s="9" t="s">
        <v>14</v>
      </c>
      <c r="D373" s="9" t="s">
        <v>12</v>
      </c>
      <c r="E373" s="9" t="s">
        <v>21</v>
      </c>
      <c r="F373" s="9" t="s">
        <v>96</v>
      </c>
      <c r="G373" s="9">
        <v>408.69</v>
      </c>
      <c r="H373" s="9">
        <v>8</v>
      </c>
      <c r="I373" s="9">
        <v>3269.52</v>
      </c>
      <c r="J373" s="9">
        <v>0.17999999999999999</v>
      </c>
      <c r="K373" s="9">
        <v>47.640000000000001</v>
      </c>
      <c r="L373" s="9" t="s">
        <v>63</v>
      </c>
      <c r="M373" s="9" t="str">
        <f t="shared" si="0"/>
        <v>20%+</v>
      </c>
    </row>
    <row r="374">
      <c r="A374" s="10">
        <v>45090</v>
      </c>
      <c r="B374" s="9" t="s">
        <v>448</v>
      </c>
      <c r="C374" s="9" t="s">
        <v>15</v>
      </c>
      <c r="D374" s="9" t="s">
        <v>9</v>
      </c>
      <c r="E374" s="9" t="s">
        <v>19</v>
      </c>
      <c r="F374" s="9" t="s">
        <v>60</v>
      </c>
      <c r="G374" s="9">
        <v>120.98999999999999</v>
      </c>
      <c r="H374" s="9">
        <v>8</v>
      </c>
      <c r="I374" s="9">
        <v>967.91999999999996</v>
      </c>
      <c r="J374" s="9">
        <v>0.17000000000000001</v>
      </c>
      <c r="K374" s="9">
        <v>68.489999999999995</v>
      </c>
      <c r="L374" s="9" t="s">
        <v>72</v>
      </c>
      <c r="M374" s="9" t="str">
        <f t="shared" si="0"/>
        <v>10-20%</v>
      </c>
    </row>
    <row r="375">
      <c r="A375" s="10">
        <v>45274</v>
      </c>
      <c r="B375" s="9" t="s">
        <v>449</v>
      </c>
      <c r="C375" s="9" t="s">
        <v>16</v>
      </c>
      <c r="D375" s="9" t="s">
        <v>9</v>
      </c>
      <c r="E375" s="9" t="s">
        <v>22</v>
      </c>
      <c r="F375" s="9" t="s">
        <v>84</v>
      </c>
      <c r="G375" s="9">
        <v>266.80000000000001</v>
      </c>
      <c r="H375" s="9">
        <v>1</v>
      </c>
      <c r="I375" s="9">
        <v>266.80000000000001</v>
      </c>
      <c r="J375" s="9">
        <v>0.25</v>
      </c>
      <c r="K375" s="9">
        <v>-6.8899999999999997</v>
      </c>
      <c r="L375" s="9" t="s">
        <v>72</v>
      </c>
      <c r="M375" s="9" t="str">
        <f t="shared" si="0"/>
        <v>10-20%</v>
      </c>
    </row>
    <row r="376">
      <c r="A376" s="10">
        <v>45115</v>
      </c>
      <c r="B376" s="9" t="s">
        <v>450</v>
      </c>
      <c r="C376" s="9" t="s">
        <v>16</v>
      </c>
      <c r="D376" s="9" t="s">
        <v>10</v>
      </c>
      <c r="E376" s="9" t="s">
        <v>20</v>
      </c>
      <c r="F376" s="9" t="s">
        <v>69</v>
      </c>
      <c r="G376" s="9">
        <v>394.22000000000003</v>
      </c>
      <c r="H376" s="9">
        <v>11</v>
      </c>
      <c r="I376" s="9">
        <v>4336.4200000000001</v>
      </c>
      <c r="J376" s="9">
        <v>0.02</v>
      </c>
      <c r="K376" s="9">
        <v>739.45000000000005</v>
      </c>
      <c r="L376" s="9" t="s">
        <v>63</v>
      </c>
      <c r="M376" s="9" t="str">
        <f t="shared" si="0"/>
        <v>20%+</v>
      </c>
    </row>
    <row r="377">
      <c r="A377" s="10">
        <v>45143</v>
      </c>
      <c r="B377" s="9" t="s">
        <v>451</v>
      </c>
      <c r="C377" s="9" t="s">
        <v>17</v>
      </c>
      <c r="D377" s="9" t="s">
        <v>12</v>
      </c>
      <c r="E377" s="9" t="s">
        <v>21</v>
      </c>
      <c r="F377" s="9" t="s">
        <v>82</v>
      </c>
      <c r="G377" s="9">
        <v>387.85000000000002</v>
      </c>
      <c r="H377" s="9">
        <v>11</v>
      </c>
      <c r="I377" s="9">
        <v>4266.3500000000004</v>
      </c>
      <c r="J377" s="9">
        <v>0.13</v>
      </c>
      <c r="K377" s="9">
        <v>-182.68000000000001</v>
      </c>
      <c r="L377" s="9" t="s">
        <v>58</v>
      </c>
      <c r="M377" s="9" t="str">
        <f t="shared" si="0"/>
        <v>0-10%</v>
      </c>
    </row>
    <row r="378">
      <c r="A378" s="10">
        <v>45287</v>
      </c>
      <c r="B378" s="9" t="s">
        <v>452</v>
      </c>
      <c r="C378" s="9" t="s">
        <v>14</v>
      </c>
      <c r="D378" s="9" t="s">
        <v>9</v>
      </c>
      <c r="E378" s="9" t="s">
        <v>21</v>
      </c>
      <c r="F378" s="9" t="s">
        <v>76</v>
      </c>
      <c r="G378" s="9">
        <v>195.56999999999999</v>
      </c>
      <c r="H378" s="9">
        <v>9</v>
      </c>
      <c r="I378" s="9">
        <v>1760.1300000000001</v>
      </c>
      <c r="J378" s="9">
        <v>0.089999999999999997</v>
      </c>
      <c r="K378" s="9">
        <v>277.05000000000001</v>
      </c>
      <c r="L378" s="9" t="s">
        <v>63</v>
      </c>
      <c r="M378" s="9" t="str">
        <f t="shared" si="0"/>
        <v>10-20%</v>
      </c>
    </row>
    <row r="379">
      <c r="A379" s="10">
        <v>45097</v>
      </c>
      <c r="B379" s="9" t="s">
        <v>453</v>
      </c>
      <c r="C379" s="9" t="s">
        <v>16</v>
      </c>
      <c r="D379" s="9" t="s">
        <v>12</v>
      </c>
      <c r="E379" s="9" t="s">
        <v>20</v>
      </c>
      <c r="F379" s="9" t="s">
        <v>101</v>
      </c>
      <c r="G379" s="9">
        <v>198.52000000000001</v>
      </c>
      <c r="H379" s="9">
        <v>7</v>
      </c>
      <c r="I379" s="9">
        <v>1389.6400000000001</v>
      </c>
      <c r="J379" s="9">
        <v>0.080000000000000002</v>
      </c>
      <c r="K379" s="9">
        <v>95.769999999999996</v>
      </c>
      <c r="L379" s="9" t="s">
        <v>58</v>
      </c>
      <c r="M379" s="9" t="str">
        <f t="shared" si="0"/>
        <v>0-10%</v>
      </c>
    </row>
    <row r="380">
      <c r="A380" s="10">
        <v>45224</v>
      </c>
      <c r="B380" s="9" t="s">
        <v>454</v>
      </c>
      <c r="C380" s="9" t="s">
        <v>17</v>
      </c>
      <c r="D380" s="9" t="s">
        <v>10</v>
      </c>
      <c r="E380" s="9" t="s">
        <v>21</v>
      </c>
      <c r="F380" s="9" t="s">
        <v>76</v>
      </c>
      <c r="G380" s="9">
        <v>31.449999999999999</v>
      </c>
      <c r="H380" s="9">
        <v>7</v>
      </c>
      <c r="I380" s="9">
        <v>220.15000000000001</v>
      </c>
      <c r="J380" s="9">
        <v>0.12</v>
      </c>
      <c r="K380" s="9">
        <v>-14.33</v>
      </c>
      <c r="L380" s="9" t="s">
        <v>58</v>
      </c>
      <c r="M380" s="9" t="str">
        <f t="shared" si="0"/>
        <v>0-10%</v>
      </c>
    </row>
    <row r="381">
      <c r="A381" s="10">
        <v>45196</v>
      </c>
      <c r="B381" s="9" t="s">
        <v>455</v>
      </c>
      <c r="C381" s="9" t="s">
        <v>17</v>
      </c>
      <c r="D381" s="9" t="s">
        <v>10</v>
      </c>
      <c r="E381" s="9" t="s">
        <v>21</v>
      </c>
      <c r="F381" s="9" t="s">
        <v>82</v>
      </c>
      <c r="G381" s="9">
        <v>225.61000000000001</v>
      </c>
      <c r="H381" s="9">
        <v>10</v>
      </c>
      <c r="I381" s="9">
        <v>2256.0999999999999</v>
      </c>
      <c r="J381" s="9">
        <v>0.080000000000000002</v>
      </c>
      <c r="K381" s="9">
        <v>303.23000000000002</v>
      </c>
      <c r="L381" s="9" t="s">
        <v>72</v>
      </c>
      <c r="M381" s="9" t="str">
        <f t="shared" si="0"/>
        <v>10-20%</v>
      </c>
    </row>
    <row r="382">
      <c r="A382" s="10">
        <v>44948</v>
      </c>
      <c r="B382" s="9" t="s">
        <v>456</v>
      </c>
      <c r="C382" s="9" t="s">
        <v>16</v>
      </c>
      <c r="D382" s="9" t="s">
        <v>12</v>
      </c>
      <c r="E382" s="9" t="s">
        <v>19</v>
      </c>
      <c r="F382" s="9" t="s">
        <v>67</v>
      </c>
      <c r="G382" s="9">
        <v>245.44</v>
      </c>
      <c r="H382" s="9">
        <v>1</v>
      </c>
      <c r="I382" s="9">
        <v>245.44</v>
      </c>
      <c r="J382" s="9">
        <v>0.089999999999999997</v>
      </c>
      <c r="K382" s="9">
        <v>20.940000000000001</v>
      </c>
      <c r="L382" s="9" t="s">
        <v>55</v>
      </c>
      <c r="M382" s="9" t="str">
        <f t="shared" si="0"/>
        <v>0-10%</v>
      </c>
    </row>
    <row r="383">
      <c r="A383" s="10">
        <v>45209</v>
      </c>
      <c r="B383" s="9" t="s">
        <v>457</v>
      </c>
      <c r="C383" s="9" t="s">
        <v>14</v>
      </c>
      <c r="D383" s="9" t="s">
        <v>11</v>
      </c>
      <c r="E383" s="9" t="s">
        <v>20</v>
      </c>
      <c r="F383" s="9" t="s">
        <v>74</v>
      </c>
      <c r="G383" s="9">
        <v>469.91000000000003</v>
      </c>
      <c r="H383" s="9">
        <v>9</v>
      </c>
      <c r="I383" s="9">
        <v>4229.1899999999996</v>
      </c>
      <c r="J383" s="9">
        <v>0.12</v>
      </c>
      <c r="K383" s="9">
        <v>46.759999999999998</v>
      </c>
      <c r="L383" s="9" t="s">
        <v>55</v>
      </c>
      <c r="M383" s="9" t="str">
        <f t="shared" si="0"/>
        <v>0-10%</v>
      </c>
    </row>
    <row r="384">
      <c r="A384" s="10">
        <v>45230</v>
      </c>
      <c r="B384" s="9" t="s">
        <v>458</v>
      </c>
      <c r="C384" s="9" t="s">
        <v>16</v>
      </c>
      <c r="D384" s="9" t="s">
        <v>11</v>
      </c>
      <c r="E384" s="9" t="s">
        <v>21</v>
      </c>
      <c r="F384" s="9" t="s">
        <v>78</v>
      </c>
      <c r="G384" s="9">
        <v>288.31</v>
      </c>
      <c r="H384" s="9">
        <v>5</v>
      </c>
      <c r="I384" s="9">
        <v>1441.55</v>
      </c>
      <c r="J384" s="9">
        <v>0.14999999999999999</v>
      </c>
      <c r="K384" s="9">
        <v>15.48</v>
      </c>
      <c r="L384" s="9" t="s">
        <v>55</v>
      </c>
      <c r="M384" s="9" t="str">
        <f t="shared" si="0"/>
        <v>10-20%</v>
      </c>
    </row>
    <row r="385">
      <c r="A385" s="10">
        <v>45072</v>
      </c>
      <c r="B385" s="9" t="s">
        <v>459</v>
      </c>
      <c r="C385" s="9" t="s">
        <v>16</v>
      </c>
      <c r="D385" s="9" t="s">
        <v>9</v>
      </c>
      <c r="E385" s="9" t="s">
        <v>20</v>
      </c>
      <c r="F385" s="9" t="s">
        <v>65</v>
      </c>
      <c r="G385" s="9">
        <v>197.88999999999999</v>
      </c>
      <c r="H385" s="9">
        <v>6</v>
      </c>
      <c r="I385" s="9">
        <v>1187.3399999999999</v>
      </c>
      <c r="J385" s="9">
        <v>0.25</v>
      </c>
      <c r="K385" s="9">
        <v>-101.62</v>
      </c>
      <c r="L385" s="9" t="s">
        <v>58</v>
      </c>
      <c r="M385" s="9" t="str">
        <f t="shared" si="0"/>
        <v>10-20%</v>
      </c>
    </row>
    <row r="386">
      <c r="A386" s="10">
        <v>45209</v>
      </c>
      <c r="B386" s="9" t="s">
        <v>460</v>
      </c>
      <c r="C386" s="9" t="s">
        <v>16</v>
      </c>
      <c r="D386" s="9" t="s">
        <v>8</v>
      </c>
      <c r="E386" s="9" t="s">
        <v>20</v>
      </c>
      <c r="F386" s="9" t="s">
        <v>101</v>
      </c>
      <c r="G386" s="9">
        <v>436.37</v>
      </c>
      <c r="H386" s="9">
        <v>8</v>
      </c>
      <c r="I386" s="9">
        <v>3490.96</v>
      </c>
      <c r="J386" s="9">
        <v>0.23000000000000001</v>
      </c>
      <c r="K386" s="9">
        <v>-583.49000000000001</v>
      </c>
      <c r="L386" s="9" t="s">
        <v>72</v>
      </c>
      <c r="M386" s="9" t="str">
        <f t="shared" si="0"/>
        <v>20%+</v>
      </c>
    </row>
    <row r="387">
      <c r="A387" s="10">
        <v>45036</v>
      </c>
      <c r="B387" s="9" t="s">
        <v>461</v>
      </c>
      <c r="C387" s="9" t="s">
        <v>15</v>
      </c>
      <c r="D387" s="9" t="s">
        <v>8</v>
      </c>
      <c r="E387" s="9" t="s">
        <v>20</v>
      </c>
      <c r="F387" s="9" t="s">
        <v>69</v>
      </c>
      <c r="G387" s="9">
        <v>443.92000000000002</v>
      </c>
      <c r="H387" s="9">
        <v>13</v>
      </c>
      <c r="I387" s="9">
        <v>5770.96</v>
      </c>
      <c r="J387" s="9">
        <v>0</v>
      </c>
      <c r="K387" s="9">
        <v>1187.22</v>
      </c>
      <c r="L387" s="9" t="s">
        <v>72</v>
      </c>
      <c r="M387" s="9" t="str">
        <f t="shared" si="0"/>
        <v>20%+</v>
      </c>
    </row>
    <row r="388">
      <c r="A388" s="10">
        <v>45217</v>
      </c>
      <c r="B388" s="9" t="s">
        <v>462</v>
      </c>
      <c r="C388" s="9" t="s">
        <v>16</v>
      </c>
      <c r="D388" s="9" t="s">
        <v>9</v>
      </c>
      <c r="E388" s="9" t="s">
        <v>19</v>
      </c>
      <c r="F388" s="9" t="s">
        <v>60</v>
      </c>
      <c r="G388" s="9">
        <v>447.52999999999997</v>
      </c>
      <c r="H388" s="9">
        <v>9</v>
      </c>
      <c r="I388" s="9">
        <v>4027.77</v>
      </c>
      <c r="J388" s="9">
        <v>0.13</v>
      </c>
      <c r="K388" s="9">
        <v>-116.13</v>
      </c>
      <c r="L388" s="9" t="s">
        <v>72</v>
      </c>
      <c r="M388" s="9" t="str">
        <f t="shared" si="0"/>
        <v>0-10%</v>
      </c>
    </row>
    <row r="389">
      <c r="A389" s="10">
        <v>44949</v>
      </c>
      <c r="B389" s="9" t="s">
        <v>463</v>
      </c>
      <c r="C389" s="9" t="s">
        <v>14</v>
      </c>
      <c r="D389" s="9" t="s">
        <v>12</v>
      </c>
      <c r="E389" s="9" t="s">
        <v>20</v>
      </c>
      <c r="F389" s="9" t="s">
        <v>80</v>
      </c>
      <c r="G389" s="9">
        <v>340.13</v>
      </c>
      <c r="H389" s="9">
        <v>6</v>
      </c>
      <c r="I389" s="9">
        <v>2040.78</v>
      </c>
      <c r="J389" s="9">
        <v>0.11</v>
      </c>
      <c r="K389" s="9">
        <v>217.69</v>
      </c>
      <c r="L389" s="9" t="s">
        <v>72</v>
      </c>
      <c r="M389" s="9" t="str">
        <f t="shared" si="0"/>
        <v>10-20%</v>
      </c>
    </row>
    <row r="390">
      <c r="A390" s="10">
        <v>45070</v>
      </c>
      <c r="B390" s="9" t="s">
        <v>464</v>
      </c>
      <c r="C390" s="9" t="s">
        <v>15</v>
      </c>
      <c r="D390" s="9" t="s">
        <v>8</v>
      </c>
      <c r="E390" s="9" t="s">
        <v>22</v>
      </c>
      <c r="F390" s="9" t="s">
        <v>84</v>
      </c>
      <c r="G390" s="9">
        <v>169.18000000000001</v>
      </c>
      <c r="H390" s="9">
        <v>2</v>
      </c>
      <c r="I390" s="9">
        <v>338.36000000000001</v>
      </c>
      <c r="J390" s="9">
        <v>0.22</v>
      </c>
      <c r="K390" s="9">
        <v>-26.420000000000002</v>
      </c>
      <c r="L390" s="9" t="s">
        <v>63</v>
      </c>
      <c r="M390" s="9" t="str">
        <f t="shared" si="0"/>
        <v>10-20%</v>
      </c>
    </row>
    <row r="391">
      <c r="A391" s="10">
        <v>45254</v>
      </c>
      <c r="B391" s="9" t="s">
        <v>465</v>
      </c>
      <c r="C391" s="9" t="s">
        <v>16</v>
      </c>
      <c r="D391" s="9" t="s">
        <v>8</v>
      </c>
      <c r="E391" s="9" t="s">
        <v>20</v>
      </c>
      <c r="F391" s="9" t="s">
        <v>65</v>
      </c>
      <c r="G391" s="9">
        <v>158.91</v>
      </c>
      <c r="H391" s="9">
        <v>8</v>
      </c>
      <c r="I391" s="9">
        <v>1271.28</v>
      </c>
      <c r="J391" s="9">
        <v>0.19</v>
      </c>
      <c r="K391" s="9">
        <v>-45.729999999999997</v>
      </c>
      <c r="L391" s="9" t="s">
        <v>58</v>
      </c>
      <c r="M391" s="9" t="str">
        <f t="shared" si="0"/>
        <v>20%+</v>
      </c>
    </row>
    <row r="392">
      <c r="A392" s="10">
        <v>45064</v>
      </c>
      <c r="B392" s="9" t="s">
        <v>466</v>
      </c>
      <c r="C392" s="9" t="s">
        <v>17</v>
      </c>
      <c r="D392" s="9" t="s">
        <v>12</v>
      </c>
      <c r="E392" s="9" t="s">
        <v>21</v>
      </c>
      <c r="F392" s="9" t="s">
        <v>82</v>
      </c>
      <c r="G392" s="9">
        <v>75.590000000000003</v>
      </c>
      <c r="H392" s="9">
        <v>13</v>
      </c>
      <c r="I392" s="9">
        <v>982.66999999999996</v>
      </c>
      <c r="J392" s="9">
        <v>0.089999999999999997</v>
      </c>
      <c r="K392" s="9">
        <v>21.620000000000001</v>
      </c>
      <c r="L392" s="9" t="s">
        <v>58</v>
      </c>
      <c r="M392" s="9" t="str">
        <f t="shared" si="0"/>
        <v>10-20%</v>
      </c>
    </row>
    <row r="393">
      <c r="A393" s="10">
        <v>45279</v>
      </c>
      <c r="B393" s="9" t="s">
        <v>467</v>
      </c>
      <c r="C393" s="9" t="s">
        <v>17</v>
      </c>
      <c r="D393" s="9" t="s">
        <v>9</v>
      </c>
      <c r="E393" s="9" t="s">
        <v>19</v>
      </c>
      <c r="F393" s="9" t="s">
        <v>98</v>
      </c>
      <c r="G393" s="9">
        <v>443.44</v>
      </c>
      <c r="H393" s="9">
        <v>2</v>
      </c>
      <c r="I393" s="9">
        <v>886.88</v>
      </c>
      <c r="J393" s="9">
        <v>0.23000000000000001</v>
      </c>
      <c r="K393" s="9">
        <v>-72.480000000000004</v>
      </c>
      <c r="L393" s="9" t="s">
        <v>55</v>
      </c>
      <c r="M393" s="9" t="str">
        <f t="shared" si="0"/>
        <v>0-10%</v>
      </c>
    </row>
    <row r="394">
      <c r="A394" s="10">
        <v>45251</v>
      </c>
      <c r="B394" s="9" t="s">
        <v>468</v>
      </c>
      <c r="C394" s="9" t="s">
        <v>14</v>
      </c>
      <c r="D394" s="9" t="s">
        <v>12</v>
      </c>
      <c r="E394" s="9" t="s">
        <v>19</v>
      </c>
      <c r="F394" s="9" t="s">
        <v>57</v>
      </c>
      <c r="G394" s="9">
        <v>441.93000000000001</v>
      </c>
      <c r="H394" s="9">
        <v>3</v>
      </c>
      <c r="I394" s="9">
        <v>1325.79</v>
      </c>
      <c r="J394" s="9">
        <v>0.14999999999999999</v>
      </c>
      <c r="K394" s="9">
        <v>-97.540000000000006</v>
      </c>
      <c r="L394" s="9" t="s">
        <v>58</v>
      </c>
      <c r="M394" s="9" t="str">
        <f t="shared" si="0"/>
        <v>20%+</v>
      </c>
    </row>
    <row r="395">
      <c r="A395" s="10">
        <v>44998</v>
      </c>
      <c r="B395" s="9" t="s">
        <v>469</v>
      </c>
      <c r="C395" s="9" t="s">
        <v>15</v>
      </c>
      <c r="D395" s="9" t="s">
        <v>11</v>
      </c>
      <c r="E395" s="9" t="s">
        <v>20</v>
      </c>
      <c r="F395" s="9" t="s">
        <v>74</v>
      </c>
      <c r="G395" s="9">
        <v>175.13999999999999</v>
      </c>
      <c r="H395" s="9">
        <v>10</v>
      </c>
      <c r="I395" s="9">
        <v>1751.4000000000001</v>
      </c>
      <c r="J395" s="9">
        <v>0.029999999999999999</v>
      </c>
      <c r="K395" s="9">
        <v>340.5</v>
      </c>
      <c r="L395" s="9" t="s">
        <v>72</v>
      </c>
      <c r="M395" s="9" t="str">
        <f t="shared" si="0"/>
        <v>10-20%</v>
      </c>
    </row>
    <row r="396">
      <c r="A396" s="10">
        <v>44986</v>
      </c>
      <c r="B396" s="9" t="s">
        <v>470</v>
      </c>
      <c r="C396" s="9" t="s">
        <v>16</v>
      </c>
      <c r="D396" s="9" t="s">
        <v>11</v>
      </c>
      <c r="E396" s="9" t="s">
        <v>22</v>
      </c>
      <c r="F396" s="9" t="s">
        <v>71</v>
      </c>
      <c r="G396" s="9">
        <v>43.170000000000002</v>
      </c>
      <c r="H396" s="9">
        <v>1</v>
      </c>
      <c r="I396" s="9">
        <v>43.170000000000002</v>
      </c>
      <c r="J396" s="9">
        <v>0</v>
      </c>
      <c r="K396" s="9">
        <v>7.5099999999999998</v>
      </c>
      <c r="L396" s="9" t="s">
        <v>58</v>
      </c>
      <c r="M396" s="9" t="str">
        <f t="shared" si="0"/>
        <v>0-10%</v>
      </c>
    </row>
    <row r="397">
      <c r="A397" s="10">
        <v>45261</v>
      </c>
      <c r="B397" s="9" t="s">
        <v>471</v>
      </c>
      <c r="C397" s="9" t="s">
        <v>14</v>
      </c>
      <c r="D397" s="9" t="s">
        <v>12</v>
      </c>
      <c r="E397" s="9" t="s">
        <v>19</v>
      </c>
      <c r="F397" s="9" t="s">
        <v>98</v>
      </c>
      <c r="G397" s="9">
        <v>25.149999999999999</v>
      </c>
      <c r="H397" s="9">
        <v>13</v>
      </c>
      <c r="I397" s="9">
        <v>326.94999999999999</v>
      </c>
      <c r="J397" s="9">
        <v>0</v>
      </c>
      <c r="K397" s="9">
        <v>26.010000000000002</v>
      </c>
      <c r="L397" s="9" t="s">
        <v>58</v>
      </c>
      <c r="M397" s="9" t="str">
        <f t="shared" si="0"/>
        <v>0-10%</v>
      </c>
    </row>
    <row r="398">
      <c r="A398" s="10">
        <v>45208</v>
      </c>
      <c r="B398" s="9" t="s">
        <v>472</v>
      </c>
      <c r="C398" s="9" t="s">
        <v>17</v>
      </c>
      <c r="D398" s="9" t="s">
        <v>12</v>
      </c>
      <c r="E398" s="9" t="s">
        <v>21</v>
      </c>
      <c r="F398" s="9" t="s">
        <v>88</v>
      </c>
      <c r="G398" s="9">
        <v>253.80000000000001</v>
      </c>
      <c r="H398" s="9">
        <v>9</v>
      </c>
      <c r="I398" s="9">
        <v>2284.1999999999998</v>
      </c>
      <c r="J398" s="9">
        <v>0.070000000000000007</v>
      </c>
      <c r="K398" s="9">
        <v>359.06999999999999</v>
      </c>
      <c r="L398" s="9" t="s">
        <v>58</v>
      </c>
      <c r="M398" s="9" t="str">
        <f t="shared" si="0"/>
        <v>0-10%</v>
      </c>
    </row>
    <row r="399">
      <c r="A399" s="10">
        <v>45189</v>
      </c>
      <c r="B399" s="9" t="s">
        <v>473</v>
      </c>
      <c r="C399" s="9" t="s">
        <v>14</v>
      </c>
      <c r="D399" s="9" t="s">
        <v>9</v>
      </c>
      <c r="E399" s="9" t="s">
        <v>22</v>
      </c>
      <c r="F399" s="9" t="s">
        <v>110</v>
      </c>
      <c r="G399" s="9">
        <v>451.57999999999998</v>
      </c>
      <c r="H399" s="9">
        <v>14</v>
      </c>
      <c r="I399" s="9">
        <v>6322.1199999999999</v>
      </c>
      <c r="J399" s="9">
        <v>0.29999999999999999</v>
      </c>
      <c r="K399" s="9">
        <v>-470.52999999999997</v>
      </c>
      <c r="L399" s="9" t="s">
        <v>63</v>
      </c>
      <c r="M399" s="9" t="str">
        <f t="shared" si="0"/>
        <v>0-10%</v>
      </c>
    </row>
    <row r="400">
      <c r="A400" s="10">
        <v>44999</v>
      </c>
      <c r="B400" s="9" t="s">
        <v>474</v>
      </c>
      <c r="C400" s="9" t="s">
        <v>16</v>
      </c>
      <c r="D400" s="9" t="s">
        <v>9</v>
      </c>
      <c r="E400" s="9" t="s">
        <v>22</v>
      </c>
      <c r="F400" s="9" t="s">
        <v>125</v>
      </c>
      <c r="G400" s="9">
        <v>414.19</v>
      </c>
      <c r="H400" s="9">
        <v>4</v>
      </c>
      <c r="I400" s="9">
        <v>1656.76</v>
      </c>
      <c r="J400" s="9">
        <v>0.02</v>
      </c>
      <c r="K400" s="9">
        <v>96.359999999999999</v>
      </c>
      <c r="L400" s="9" t="s">
        <v>58</v>
      </c>
      <c r="M400" s="9" t="str">
        <f t="shared" si="0"/>
        <v>20%+</v>
      </c>
    </row>
    <row r="401">
      <c r="A401" s="10">
        <v>44945</v>
      </c>
      <c r="B401" s="9" t="s">
        <v>475</v>
      </c>
      <c r="C401" s="9" t="s">
        <v>14</v>
      </c>
      <c r="D401" s="9" t="s">
        <v>11</v>
      </c>
      <c r="E401" s="9" t="s">
        <v>22</v>
      </c>
      <c r="F401" s="9" t="s">
        <v>110</v>
      </c>
      <c r="G401" s="9">
        <v>346.25999999999999</v>
      </c>
      <c r="H401" s="9">
        <v>5</v>
      </c>
      <c r="I401" s="9">
        <v>1731.3</v>
      </c>
      <c r="J401" s="9">
        <v>0.27000000000000002</v>
      </c>
      <c r="K401" s="9">
        <v>-57.240000000000002</v>
      </c>
      <c r="L401" s="9" t="s">
        <v>63</v>
      </c>
      <c r="M401" s="9" t="str">
        <f t="shared" si="0"/>
        <v>0-10%</v>
      </c>
    </row>
    <row r="402">
      <c r="A402" s="10">
        <v>45151</v>
      </c>
      <c r="B402" s="9" t="s">
        <v>476</v>
      </c>
      <c r="C402" s="9" t="s">
        <v>14</v>
      </c>
      <c r="D402" s="9" t="s">
        <v>9</v>
      </c>
      <c r="E402" s="9" t="s">
        <v>21</v>
      </c>
      <c r="F402" s="9" t="s">
        <v>82</v>
      </c>
      <c r="G402" s="9">
        <v>220.84</v>
      </c>
      <c r="H402" s="9">
        <v>6</v>
      </c>
      <c r="I402" s="9">
        <v>1325.04</v>
      </c>
      <c r="J402" s="9">
        <v>0.17000000000000001</v>
      </c>
      <c r="K402" s="9">
        <v>-143.31999999999999</v>
      </c>
      <c r="L402" s="9" t="s">
        <v>63</v>
      </c>
      <c r="M402" s="9" t="str">
        <f t="shared" si="0"/>
        <v>20%+</v>
      </c>
    </row>
    <row r="403">
      <c r="A403" s="10">
        <v>45128</v>
      </c>
      <c r="B403" s="9" t="s">
        <v>477</v>
      </c>
      <c r="C403" s="9" t="s">
        <v>17</v>
      </c>
      <c r="D403" s="9" t="s">
        <v>9</v>
      </c>
      <c r="E403" s="9" t="s">
        <v>21</v>
      </c>
      <c r="F403" s="9" t="s">
        <v>78</v>
      </c>
      <c r="G403" s="9">
        <v>19.25</v>
      </c>
      <c r="H403" s="9">
        <v>11</v>
      </c>
      <c r="I403" s="9">
        <v>211.75</v>
      </c>
      <c r="J403" s="9">
        <v>0.059999999999999998</v>
      </c>
      <c r="K403" s="9">
        <v>29.07</v>
      </c>
      <c r="L403" s="9" t="s">
        <v>72</v>
      </c>
      <c r="M403" s="9" t="str">
        <f t="shared" si="0"/>
        <v>10-20%</v>
      </c>
    </row>
    <row r="404">
      <c r="A404" s="10">
        <v>44949</v>
      </c>
      <c r="B404" s="9" t="s">
        <v>478</v>
      </c>
      <c r="C404" s="9" t="s">
        <v>17</v>
      </c>
      <c r="D404" s="9" t="s">
        <v>10</v>
      </c>
      <c r="E404" s="9" t="s">
        <v>21</v>
      </c>
      <c r="F404" s="9" t="s">
        <v>78</v>
      </c>
      <c r="G404" s="9">
        <v>440.91000000000003</v>
      </c>
      <c r="H404" s="9">
        <v>12</v>
      </c>
      <c r="I404" s="9">
        <v>5290.9200000000001</v>
      </c>
      <c r="J404" s="9">
        <v>0.20000000000000001</v>
      </c>
      <c r="K404" s="9">
        <v>74.420000000000002</v>
      </c>
      <c r="L404" s="9" t="s">
        <v>63</v>
      </c>
      <c r="M404" s="9" t="str">
        <f t="shared" si="0"/>
        <v>0-10%</v>
      </c>
    </row>
    <row r="405">
      <c r="A405" s="10">
        <v>45101</v>
      </c>
      <c r="B405" s="9" t="s">
        <v>479</v>
      </c>
      <c r="C405" s="9" t="s">
        <v>16</v>
      </c>
      <c r="D405" s="9" t="s">
        <v>10</v>
      </c>
      <c r="E405" s="9" t="s">
        <v>19</v>
      </c>
      <c r="F405" s="9" t="s">
        <v>60</v>
      </c>
      <c r="G405" s="9">
        <v>392.76999999999998</v>
      </c>
      <c r="H405" s="9">
        <v>10</v>
      </c>
      <c r="I405" s="9">
        <v>3927.6999999999998</v>
      </c>
      <c r="J405" s="9">
        <v>0.25</v>
      </c>
      <c r="K405" s="9">
        <v>-440.33999999999997</v>
      </c>
      <c r="L405" s="9" t="s">
        <v>55</v>
      </c>
      <c r="M405" s="9" t="str">
        <f t="shared" si="0"/>
        <v>10-20%</v>
      </c>
    </row>
    <row r="406">
      <c r="A406" s="10">
        <v>45187</v>
      </c>
      <c r="B406" s="9" t="s">
        <v>480</v>
      </c>
      <c r="C406" s="9" t="s">
        <v>17</v>
      </c>
      <c r="D406" s="9" t="s">
        <v>11</v>
      </c>
      <c r="E406" s="9" t="s">
        <v>19</v>
      </c>
      <c r="F406" s="9" t="s">
        <v>62</v>
      </c>
      <c r="G406" s="9">
        <v>390.47000000000003</v>
      </c>
      <c r="H406" s="9">
        <v>10</v>
      </c>
      <c r="I406" s="9">
        <v>3904.6999999999998</v>
      </c>
      <c r="J406" s="9">
        <v>0.02</v>
      </c>
      <c r="K406" s="9">
        <v>330.45999999999998</v>
      </c>
      <c r="L406" s="9" t="s">
        <v>55</v>
      </c>
      <c r="M406" s="9" t="str">
        <f t="shared" si="0"/>
        <v>20%+</v>
      </c>
    </row>
    <row r="407">
      <c r="A407" s="10">
        <v>45230</v>
      </c>
      <c r="B407" s="9" t="s">
        <v>481</v>
      </c>
      <c r="C407" s="9" t="s">
        <v>16</v>
      </c>
      <c r="D407" s="9" t="s">
        <v>9</v>
      </c>
      <c r="E407" s="9" t="s">
        <v>19</v>
      </c>
      <c r="F407" s="9" t="s">
        <v>67</v>
      </c>
      <c r="G407" s="9">
        <v>178.47</v>
      </c>
      <c r="H407" s="9">
        <v>14</v>
      </c>
      <c r="I407" s="9">
        <v>2498.5799999999999</v>
      </c>
      <c r="J407" s="9">
        <v>0.11</v>
      </c>
      <c r="K407" s="9">
        <v>-67.629999999999995</v>
      </c>
      <c r="L407" s="9" t="s">
        <v>58</v>
      </c>
      <c r="M407" s="9" t="str">
        <f t="shared" si="0"/>
        <v>0-10%</v>
      </c>
    </row>
    <row r="408">
      <c r="A408" s="10">
        <v>45053</v>
      </c>
      <c r="B408" s="9" t="s">
        <v>482</v>
      </c>
      <c r="C408" s="9" t="s">
        <v>14</v>
      </c>
      <c r="D408" s="9" t="s">
        <v>12</v>
      </c>
      <c r="E408" s="9" t="s">
        <v>22</v>
      </c>
      <c r="F408" s="9" t="s">
        <v>71</v>
      </c>
      <c r="G408" s="9">
        <v>260.88</v>
      </c>
      <c r="H408" s="9">
        <v>1</v>
      </c>
      <c r="I408" s="9">
        <v>260.88</v>
      </c>
      <c r="J408" s="9">
        <v>0.14999999999999999</v>
      </c>
      <c r="K408" s="9">
        <v>-3.4100000000000001</v>
      </c>
      <c r="L408" s="9" t="s">
        <v>63</v>
      </c>
      <c r="M408" s="9" t="str">
        <f t="shared" si="0"/>
        <v>10-20%</v>
      </c>
    </row>
    <row r="409">
      <c r="A409" s="10">
        <v>45005</v>
      </c>
      <c r="B409" s="9" t="s">
        <v>483</v>
      </c>
      <c r="C409" s="9" t="s">
        <v>15</v>
      </c>
      <c r="D409" s="9" t="s">
        <v>8</v>
      </c>
      <c r="E409" s="9" t="s">
        <v>22</v>
      </c>
      <c r="F409" s="9" t="s">
        <v>54</v>
      </c>
      <c r="G409" s="9">
        <v>120.18000000000001</v>
      </c>
      <c r="H409" s="9">
        <v>14</v>
      </c>
      <c r="I409" s="9">
        <v>1682.52</v>
      </c>
      <c r="J409" s="9">
        <v>0.23999999999999999</v>
      </c>
      <c r="K409" s="9">
        <v>-172.16</v>
      </c>
      <c r="L409" s="9" t="s">
        <v>58</v>
      </c>
      <c r="M409" s="9" t="str">
        <f t="shared" si="0"/>
        <v>10-20%</v>
      </c>
    </row>
    <row r="410">
      <c r="A410" s="10">
        <v>44927</v>
      </c>
      <c r="B410" s="9" t="s">
        <v>484</v>
      </c>
      <c r="C410" s="9" t="s">
        <v>14</v>
      </c>
      <c r="D410" s="9" t="s">
        <v>9</v>
      </c>
      <c r="E410" s="9" t="s">
        <v>21</v>
      </c>
      <c r="F410" s="9" t="s">
        <v>82</v>
      </c>
      <c r="G410" s="9">
        <v>462.82999999999998</v>
      </c>
      <c r="H410" s="9">
        <v>12</v>
      </c>
      <c r="I410" s="9">
        <v>5553.96</v>
      </c>
      <c r="J410" s="9">
        <v>0.12</v>
      </c>
      <c r="K410" s="9">
        <v>589.99000000000001</v>
      </c>
      <c r="L410" s="9" t="s">
        <v>63</v>
      </c>
      <c r="M410" s="9" t="str">
        <f t="shared" si="0"/>
        <v>20%+</v>
      </c>
    </row>
    <row r="411">
      <c r="A411" s="10">
        <v>45164</v>
      </c>
      <c r="B411" s="9" t="s">
        <v>485</v>
      </c>
      <c r="C411" s="9" t="s">
        <v>16</v>
      </c>
      <c r="D411" s="9" t="s">
        <v>10</v>
      </c>
      <c r="E411" s="9" t="s">
        <v>21</v>
      </c>
      <c r="F411" s="9" t="s">
        <v>76</v>
      </c>
      <c r="G411" s="9">
        <v>473.49000000000001</v>
      </c>
      <c r="H411" s="9">
        <v>2</v>
      </c>
      <c r="I411" s="9">
        <v>946.98000000000002</v>
      </c>
      <c r="J411" s="9">
        <v>0.040000000000000001</v>
      </c>
      <c r="K411" s="9">
        <v>174.58000000000001</v>
      </c>
      <c r="L411" s="9" t="s">
        <v>58</v>
      </c>
      <c r="M411" s="9" t="str">
        <f t="shared" si="0"/>
        <v>10-20%</v>
      </c>
    </row>
    <row r="412">
      <c r="A412" s="10">
        <v>44943</v>
      </c>
      <c r="B412" s="9" t="s">
        <v>486</v>
      </c>
      <c r="C412" s="9" t="s">
        <v>16</v>
      </c>
      <c r="D412" s="9" t="s">
        <v>8</v>
      </c>
      <c r="E412" s="9" t="s">
        <v>20</v>
      </c>
      <c r="F412" s="9" t="s">
        <v>74</v>
      </c>
      <c r="G412" s="9">
        <v>259.08999999999997</v>
      </c>
      <c r="H412" s="9">
        <v>3</v>
      </c>
      <c r="I412" s="9">
        <v>777.26999999999998</v>
      </c>
      <c r="J412" s="9">
        <v>0.17999999999999999</v>
      </c>
      <c r="K412" s="9">
        <v>28.66</v>
      </c>
      <c r="L412" s="9" t="s">
        <v>55</v>
      </c>
      <c r="M412" s="9" t="str">
        <f t="shared" si="0"/>
        <v>0-10%</v>
      </c>
    </row>
    <row r="413">
      <c r="A413" s="10">
        <v>45116</v>
      </c>
      <c r="B413" s="9" t="s">
        <v>487</v>
      </c>
      <c r="C413" s="9" t="s">
        <v>16</v>
      </c>
      <c r="D413" s="9" t="s">
        <v>12</v>
      </c>
      <c r="E413" s="9" t="s">
        <v>19</v>
      </c>
      <c r="F413" s="9" t="s">
        <v>57</v>
      </c>
      <c r="G413" s="9">
        <v>350.98000000000002</v>
      </c>
      <c r="H413" s="9">
        <v>13</v>
      </c>
      <c r="I413" s="9">
        <v>4562.7399999999998</v>
      </c>
      <c r="J413" s="9">
        <v>0.28999999999999998</v>
      </c>
      <c r="K413" s="9">
        <v>-902.84000000000003</v>
      </c>
      <c r="L413" s="9" t="s">
        <v>55</v>
      </c>
      <c r="M413" s="9" t="str">
        <f t="shared" si="0"/>
        <v>10-20%</v>
      </c>
    </row>
    <row r="414">
      <c r="A414" s="10">
        <v>44935</v>
      </c>
      <c r="B414" s="9" t="s">
        <v>488</v>
      </c>
      <c r="C414" s="9" t="s">
        <v>14</v>
      </c>
      <c r="D414" s="9" t="s">
        <v>11</v>
      </c>
      <c r="E414" s="9" t="s">
        <v>21</v>
      </c>
      <c r="F414" s="9" t="s">
        <v>82</v>
      </c>
      <c r="G414" s="9">
        <v>444.04000000000002</v>
      </c>
      <c r="H414" s="9">
        <v>14</v>
      </c>
      <c r="I414" s="9">
        <v>6216.5600000000004</v>
      </c>
      <c r="J414" s="9">
        <v>0.28000000000000003</v>
      </c>
      <c r="K414" s="9">
        <v>-1179.4100000000001</v>
      </c>
      <c r="L414" s="9" t="s">
        <v>55</v>
      </c>
      <c r="M414" s="9" t="str">
        <f t="shared" si="0"/>
        <v>20%+</v>
      </c>
    </row>
    <row r="415">
      <c r="A415" s="10">
        <v>44963</v>
      </c>
      <c r="B415" s="9" t="s">
        <v>489</v>
      </c>
      <c r="C415" s="9" t="s">
        <v>16</v>
      </c>
      <c r="D415" s="9" t="s">
        <v>10</v>
      </c>
      <c r="E415" s="9" t="s">
        <v>21</v>
      </c>
      <c r="F415" s="9" t="s">
        <v>82</v>
      </c>
      <c r="G415" s="9">
        <v>165.81</v>
      </c>
      <c r="H415" s="9">
        <v>11</v>
      </c>
      <c r="I415" s="9">
        <v>1823.9100000000001</v>
      </c>
      <c r="J415" s="9">
        <v>0.070000000000000007</v>
      </c>
      <c r="K415" s="9">
        <v>210.97</v>
      </c>
      <c r="L415" s="9" t="s">
        <v>55</v>
      </c>
      <c r="M415" s="9" t="str">
        <f t="shared" si="0"/>
        <v>20%+</v>
      </c>
    </row>
    <row r="416">
      <c r="A416" s="10">
        <v>45289</v>
      </c>
      <c r="B416" s="9" t="s">
        <v>490</v>
      </c>
      <c r="C416" s="9" t="s">
        <v>16</v>
      </c>
      <c r="D416" s="9" t="s">
        <v>12</v>
      </c>
      <c r="E416" s="9" t="s">
        <v>21</v>
      </c>
      <c r="F416" s="9" t="s">
        <v>78</v>
      </c>
      <c r="G416" s="9">
        <v>241.34999999999999</v>
      </c>
      <c r="H416" s="9">
        <v>8</v>
      </c>
      <c r="I416" s="9">
        <v>1930.8</v>
      </c>
      <c r="J416" s="9">
        <v>0.27000000000000002</v>
      </c>
      <c r="K416" s="9">
        <v>-45.420000000000002</v>
      </c>
      <c r="L416" s="9" t="s">
        <v>55</v>
      </c>
      <c r="M416" s="9" t="str">
        <f t="shared" si="0"/>
        <v>0-10%</v>
      </c>
    </row>
    <row r="417">
      <c r="A417" s="10">
        <v>44936</v>
      </c>
      <c r="B417" s="9" t="s">
        <v>491</v>
      </c>
      <c r="C417" s="9" t="s">
        <v>14</v>
      </c>
      <c r="D417" s="9" t="s">
        <v>9</v>
      </c>
      <c r="E417" s="9" t="s">
        <v>21</v>
      </c>
      <c r="F417" s="9" t="s">
        <v>88</v>
      </c>
      <c r="G417" s="9">
        <v>458.08999999999997</v>
      </c>
      <c r="H417" s="9">
        <v>8</v>
      </c>
      <c r="I417" s="9">
        <v>3664.7199999999998</v>
      </c>
      <c r="J417" s="9">
        <v>0.040000000000000001</v>
      </c>
      <c r="K417" s="9">
        <v>284.81</v>
      </c>
      <c r="L417" s="9" t="s">
        <v>58</v>
      </c>
      <c r="M417" s="9" t="str">
        <f t="shared" si="0"/>
        <v>20%+</v>
      </c>
    </row>
    <row r="418">
      <c r="A418" s="10">
        <v>44958</v>
      </c>
      <c r="B418" s="9" t="s">
        <v>492</v>
      </c>
      <c r="C418" s="9" t="s">
        <v>17</v>
      </c>
      <c r="D418" s="9" t="s">
        <v>12</v>
      </c>
      <c r="E418" s="9" t="s">
        <v>19</v>
      </c>
      <c r="F418" s="9" t="s">
        <v>57</v>
      </c>
      <c r="G418" s="9">
        <v>316.79000000000002</v>
      </c>
      <c r="H418" s="9">
        <v>4</v>
      </c>
      <c r="I418" s="9">
        <v>1267.1600000000001</v>
      </c>
      <c r="J418" s="9">
        <v>0.17000000000000001</v>
      </c>
      <c r="K418" s="9">
        <v>86.75</v>
      </c>
      <c r="L418" s="9" t="s">
        <v>55</v>
      </c>
      <c r="M418" s="9" t="str">
        <f t="shared" si="0"/>
        <v>0-10%</v>
      </c>
    </row>
    <row r="419">
      <c r="A419" s="10">
        <v>45236</v>
      </c>
      <c r="B419" s="9" t="s">
        <v>493</v>
      </c>
      <c r="C419" s="9" t="s">
        <v>15</v>
      </c>
      <c r="D419" s="9" t="s">
        <v>9</v>
      </c>
      <c r="E419" s="9" t="s">
        <v>20</v>
      </c>
      <c r="F419" s="9" t="s">
        <v>69</v>
      </c>
      <c r="G419" s="9">
        <v>470.05000000000001</v>
      </c>
      <c r="H419" s="9">
        <v>11</v>
      </c>
      <c r="I419" s="9">
        <v>5170.5500000000002</v>
      </c>
      <c r="J419" s="9">
        <v>0.02</v>
      </c>
      <c r="K419" s="9">
        <v>703.58000000000004</v>
      </c>
      <c r="L419" s="9" t="s">
        <v>72</v>
      </c>
      <c r="M419" s="9" t="str">
        <f t="shared" si="0"/>
        <v>10-20%</v>
      </c>
    </row>
    <row r="420">
      <c r="A420" s="10">
        <v>45047</v>
      </c>
      <c r="B420" s="9" t="s">
        <v>494</v>
      </c>
      <c r="C420" s="9" t="s">
        <v>14</v>
      </c>
      <c r="D420" s="9" t="s">
        <v>12</v>
      </c>
      <c r="E420" s="9" t="s">
        <v>22</v>
      </c>
      <c r="F420" s="9" t="s">
        <v>125</v>
      </c>
      <c r="G420" s="9">
        <v>343.30000000000001</v>
      </c>
      <c r="H420" s="9">
        <v>9</v>
      </c>
      <c r="I420" s="9">
        <v>3089.6999999999998</v>
      </c>
      <c r="J420" s="9">
        <v>0.20999999999999999</v>
      </c>
      <c r="K420" s="9">
        <v>-476.12</v>
      </c>
      <c r="L420" s="9" t="s">
        <v>55</v>
      </c>
      <c r="M420" s="9" t="str">
        <f t="shared" si="0"/>
        <v>0-10%</v>
      </c>
    </row>
    <row r="421">
      <c r="A421" s="10">
        <v>45270</v>
      </c>
      <c r="B421" s="9" t="s">
        <v>495</v>
      </c>
      <c r="C421" s="9" t="s">
        <v>14</v>
      </c>
      <c r="D421" s="9" t="s">
        <v>12</v>
      </c>
      <c r="E421" s="9" t="s">
        <v>22</v>
      </c>
      <c r="F421" s="9" t="s">
        <v>54</v>
      </c>
      <c r="G421" s="9">
        <v>149.16</v>
      </c>
      <c r="H421" s="9">
        <v>3</v>
      </c>
      <c r="I421" s="9">
        <v>447.48000000000002</v>
      </c>
      <c r="J421" s="9">
        <v>0.11</v>
      </c>
      <c r="K421" s="9">
        <v>-1.04</v>
      </c>
      <c r="L421" s="9" t="s">
        <v>72</v>
      </c>
      <c r="M421" s="9" t="str">
        <f t="shared" si="0"/>
        <v>20%+</v>
      </c>
    </row>
    <row r="422">
      <c r="A422" s="10">
        <v>45025</v>
      </c>
      <c r="B422" s="9" t="s">
        <v>496</v>
      </c>
      <c r="C422" s="9" t="s">
        <v>14</v>
      </c>
      <c r="D422" s="9" t="s">
        <v>8</v>
      </c>
      <c r="E422" s="9" t="s">
        <v>22</v>
      </c>
      <c r="F422" s="9" t="s">
        <v>54</v>
      </c>
      <c r="G422" s="9">
        <v>28.789999999999999</v>
      </c>
      <c r="H422" s="9">
        <v>15</v>
      </c>
      <c r="I422" s="9">
        <v>431.85000000000002</v>
      </c>
      <c r="J422" s="9">
        <v>0.27000000000000002</v>
      </c>
      <c r="K422" s="9">
        <v>-11.279999999999999</v>
      </c>
      <c r="L422" s="9" t="s">
        <v>63</v>
      </c>
      <c r="M422" s="9" t="str">
        <f t="shared" si="0"/>
        <v>10-20%</v>
      </c>
    </row>
    <row r="423">
      <c r="A423" s="10">
        <v>45017</v>
      </c>
      <c r="B423" s="9" t="s">
        <v>497</v>
      </c>
      <c r="C423" s="9" t="s">
        <v>15</v>
      </c>
      <c r="D423" s="9" t="s">
        <v>9</v>
      </c>
      <c r="E423" s="9" t="s">
        <v>19</v>
      </c>
      <c r="F423" s="9" t="s">
        <v>67</v>
      </c>
      <c r="G423" s="9">
        <v>433.97000000000003</v>
      </c>
      <c r="H423" s="9">
        <v>15</v>
      </c>
      <c r="I423" s="9">
        <v>6509.5500000000002</v>
      </c>
      <c r="J423" s="9">
        <v>0.059999999999999998</v>
      </c>
      <c r="K423" s="9">
        <v>615.91999999999996</v>
      </c>
      <c r="L423" s="9" t="s">
        <v>63</v>
      </c>
      <c r="M423" s="9" t="str">
        <f t="shared" si="0"/>
        <v>20%+</v>
      </c>
    </row>
    <row r="424">
      <c r="A424" s="10">
        <v>45037</v>
      </c>
      <c r="B424" s="9" t="s">
        <v>498</v>
      </c>
      <c r="C424" s="9" t="s">
        <v>14</v>
      </c>
      <c r="D424" s="9" t="s">
        <v>8</v>
      </c>
      <c r="E424" s="9" t="s">
        <v>22</v>
      </c>
      <c r="F424" s="9" t="s">
        <v>125</v>
      </c>
      <c r="G424" s="9">
        <v>466.55000000000001</v>
      </c>
      <c r="H424" s="9">
        <v>15</v>
      </c>
      <c r="I424" s="9">
        <v>6998.25</v>
      </c>
      <c r="J424" s="9">
        <v>0.19</v>
      </c>
      <c r="K424" s="9">
        <v>-762.00999999999999</v>
      </c>
      <c r="L424" s="9" t="s">
        <v>63</v>
      </c>
      <c r="M424" s="9" t="str">
        <f t="shared" si="0"/>
        <v>0-10%</v>
      </c>
    </row>
    <row r="425">
      <c r="A425" s="10">
        <v>45104</v>
      </c>
      <c r="B425" s="9" t="s">
        <v>499</v>
      </c>
      <c r="C425" s="9" t="s">
        <v>14</v>
      </c>
      <c r="D425" s="9" t="s">
        <v>11</v>
      </c>
      <c r="E425" s="9" t="s">
        <v>20</v>
      </c>
      <c r="F425" s="9" t="s">
        <v>69</v>
      </c>
      <c r="G425" s="9">
        <v>68.819999999999993</v>
      </c>
      <c r="H425" s="9">
        <v>6</v>
      </c>
      <c r="I425" s="9">
        <v>412.92000000000002</v>
      </c>
      <c r="J425" s="9">
        <v>0.01</v>
      </c>
      <c r="K425" s="9">
        <v>96.459999999999994</v>
      </c>
      <c r="L425" s="9" t="s">
        <v>55</v>
      </c>
      <c r="M425" s="9" t="str">
        <f t="shared" si="0"/>
        <v>10-20%</v>
      </c>
    </row>
    <row r="426">
      <c r="A426" s="10">
        <v>45148</v>
      </c>
      <c r="B426" s="9" t="s">
        <v>500</v>
      </c>
      <c r="C426" s="9" t="s">
        <v>17</v>
      </c>
      <c r="D426" s="9" t="s">
        <v>12</v>
      </c>
      <c r="E426" s="9" t="s">
        <v>19</v>
      </c>
      <c r="F426" s="9" t="s">
        <v>60</v>
      </c>
      <c r="G426" s="9">
        <v>247.84999999999999</v>
      </c>
      <c r="H426" s="9">
        <v>15</v>
      </c>
      <c r="I426" s="9">
        <v>3717.75</v>
      </c>
      <c r="J426" s="9">
        <v>0.27000000000000002</v>
      </c>
      <c r="K426" s="9">
        <v>-675.75999999999999</v>
      </c>
      <c r="L426" s="9" t="s">
        <v>72</v>
      </c>
      <c r="M426" s="9" t="str">
        <f t="shared" si="0"/>
        <v>0-10%</v>
      </c>
    </row>
    <row r="427">
      <c r="A427" s="10">
        <v>45218</v>
      </c>
      <c r="B427" s="9" t="s">
        <v>501</v>
      </c>
      <c r="C427" s="9" t="s">
        <v>15</v>
      </c>
      <c r="D427" s="9" t="s">
        <v>12</v>
      </c>
      <c r="E427" s="9" t="s">
        <v>20</v>
      </c>
      <c r="F427" s="9" t="s">
        <v>65</v>
      </c>
      <c r="G427" s="9">
        <v>283.76999999999998</v>
      </c>
      <c r="H427" s="9">
        <v>8</v>
      </c>
      <c r="I427" s="9">
        <v>2270.1599999999999</v>
      </c>
      <c r="J427" s="9">
        <v>0.14999999999999999</v>
      </c>
      <c r="K427" s="9">
        <v>-145.78999999999999</v>
      </c>
      <c r="L427" s="9" t="s">
        <v>58</v>
      </c>
      <c r="M427" s="9" t="str">
        <f t="shared" si="0"/>
        <v>20%+</v>
      </c>
    </row>
    <row r="428">
      <c r="A428" s="10">
        <v>45246</v>
      </c>
      <c r="B428" s="9" t="s">
        <v>502</v>
      </c>
      <c r="C428" s="9" t="s">
        <v>16</v>
      </c>
      <c r="D428" s="9" t="s">
        <v>9</v>
      </c>
      <c r="E428" s="9" t="s">
        <v>19</v>
      </c>
      <c r="F428" s="9" t="s">
        <v>62</v>
      </c>
      <c r="G428" s="9">
        <v>107.3</v>
      </c>
      <c r="H428" s="9">
        <v>13</v>
      </c>
      <c r="I428" s="9">
        <v>1394.9000000000001</v>
      </c>
      <c r="J428" s="9">
        <v>0.02</v>
      </c>
      <c r="K428" s="9">
        <v>100.53</v>
      </c>
      <c r="L428" s="9" t="s">
        <v>63</v>
      </c>
      <c r="M428" s="9" t="str">
        <f t="shared" si="0"/>
        <v>10-20%</v>
      </c>
    </row>
    <row r="429">
      <c r="A429" s="10">
        <v>45058</v>
      </c>
      <c r="B429" s="9" t="s">
        <v>503</v>
      </c>
      <c r="C429" s="9" t="s">
        <v>14</v>
      </c>
      <c r="D429" s="9" t="s">
        <v>8</v>
      </c>
      <c r="E429" s="9" t="s">
        <v>22</v>
      </c>
      <c r="F429" s="9" t="s">
        <v>110</v>
      </c>
      <c r="G429" s="9">
        <v>281.05000000000001</v>
      </c>
      <c r="H429" s="9">
        <v>7</v>
      </c>
      <c r="I429" s="9">
        <v>1967.3499999999999</v>
      </c>
      <c r="J429" s="9">
        <v>0.040000000000000001</v>
      </c>
      <c r="K429" s="9">
        <v>268.22000000000003</v>
      </c>
      <c r="L429" s="9" t="s">
        <v>58</v>
      </c>
      <c r="M429" s="9" t="str">
        <f t="shared" si="0"/>
        <v>0-10%</v>
      </c>
    </row>
    <row r="430">
      <c r="A430" s="10">
        <v>44933</v>
      </c>
      <c r="B430" s="9" t="s">
        <v>504</v>
      </c>
      <c r="C430" s="9" t="s">
        <v>16</v>
      </c>
      <c r="D430" s="9" t="s">
        <v>10</v>
      </c>
      <c r="E430" s="9" t="s">
        <v>19</v>
      </c>
      <c r="F430" s="9" t="s">
        <v>67</v>
      </c>
      <c r="G430" s="9">
        <v>170.80000000000001</v>
      </c>
      <c r="H430" s="9">
        <v>11</v>
      </c>
      <c r="I430" s="9">
        <v>1878.8</v>
      </c>
      <c r="J430" s="9">
        <v>0.20000000000000001</v>
      </c>
      <c r="K430" s="9">
        <v>-22.16</v>
      </c>
      <c r="L430" s="9" t="s">
        <v>55</v>
      </c>
      <c r="M430" s="9" t="str">
        <f t="shared" si="0"/>
        <v>0-10%</v>
      </c>
    </row>
    <row r="431">
      <c r="A431" s="10">
        <v>45142</v>
      </c>
      <c r="B431" s="9" t="s">
        <v>505</v>
      </c>
      <c r="C431" s="9" t="s">
        <v>15</v>
      </c>
      <c r="D431" s="9" t="s">
        <v>10</v>
      </c>
      <c r="E431" s="9" t="s">
        <v>19</v>
      </c>
      <c r="F431" s="9" t="s">
        <v>62</v>
      </c>
      <c r="G431" s="9">
        <v>344.88</v>
      </c>
      <c r="H431" s="9">
        <v>11</v>
      </c>
      <c r="I431" s="9">
        <v>3793.6799999999998</v>
      </c>
      <c r="J431" s="9">
        <v>0.080000000000000002</v>
      </c>
      <c r="K431" s="9">
        <v>45.060000000000002</v>
      </c>
      <c r="L431" s="9" t="s">
        <v>63</v>
      </c>
      <c r="M431" s="9" t="str">
        <f t="shared" si="0"/>
        <v>10-20%</v>
      </c>
    </row>
    <row r="432">
      <c r="A432" s="10">
        <v>45290</v>
      </c>
      <c r="B432" s="9" t="s">
        <v>506</v>
      </c>
      <c r="C432" s="9" t="s">
        <v>16</v>
      </c>
      <c r="D432" s="9" t="s">
        <v>10</v>
      </c>
      <c r="E432" s="9" t="s">
        <v>19</v>
      </c>
      <c r="F432" s="9" t="s">
        <v>98</v>
      </c>
      <c r="G432" s="9">
        <v>454</v>
      </c>
      <c r="H432" s="9">
        <v>1</v>
      </c>
      <c r="I432" s="9">
        <v>454</v>
      </c>
      <c r="J432" s="9">
        <v>0.17000000000000001</v>
      </c>
      <c r="K432" s="9">
        <v>-9.6400000000000006</v>
      </c>
      <c r="L432" s="9" t="s">
        <v>55</v>
      </c>
      <c r="M432" s="9" t="str">
        <f t="shared" si="0"/>
        <v>0-10%</v>
      </c>
    </row>
    <row r="433">
      <c r="A433" s="10">
        <v>45185</v>
      </c>
      <c r="B433" s="9" t="s">
        <v>507</v>
      </c>
      <c r="C433" s="9" t="s">
        <v>14</v>
      </c>
      <c r="D433" s="9" t="s">
        <v>8</v>
      </c>
      <c r="E433" s="9" t="s">
        <v>19</v>
      </c>
      <c r="F433" s="9" t="s">
        <v>57</v>
      </c>
      <c r="G433" s="9">
        <v>331.38999999999999</v>
      </c>
      <c r="H433" s="9">
        <v>7</v>
      </c>
      <c r="I433" s="9">
        <v>2319.73</v>
      </c>
      <c r="J433" s="9">
        <v>0.22</v>
      </c>
      <c r="K433" s="9">
        <v>44.450000000000003</v>
      </c>
      <c r="L433" s="9" t="s">
        <v>55</v>
      </c>
      <c r="M433" s="9" t="str">
        <f t="shared" si="0"/>
        <v>10-20%</v>
      </c>
    </row>
    <row r="434">
      <c r="A434" s="10">
        <v>45241</v>
      </c>
      <c r="B434" s="9" t="s">
        <v>508</v>
      </c>
      <c r="C434" s="9" t="s">
        <v>17</v>
      </c>
      <c r="D434" s="9" t="s">
        <v>10</v>
      </c>
      <c r="E434" s="9" t="s">
        <v>21</v>
      </c>
      <c r="F434" s="9" t="s">
        <v>78</v>
      </c>
      <c r="G434" s="9">
        <v>186.91999999999999</v>
      </c>
      <c r="H434" s="9">
        <v>12</v>
      </c>
      <c r="I434" s="9">
        <v>2243.04</v>
      </c>
      <c r="J434" s="9">
        <v>0.27000000000000002</v>
      </c>
      <c r="K434" s="9">
        <v>-72.939999999999998</v>
      </c>
      <c r="L434" s="9" t="s">
        <v>55</v>
      </c>
      <c r="M434" s="9" t="str">
        <f t="shared" si="0"/>
        <v>20%+</v>
      </c>
    </row>
    <row r="435">
      <c r="A435" s="10">
        <v>44947</v>
      </c>
      <c r="B435" s="9" t="s">
        <v>509</v>
      </c>
      <c r="C435" s="9" t="s">
        <v>14</v>
      </c>
      <c r="D435" s="9" t="s">
        <v>10</v>
      </c>
      <c r="E435" s="9" t="s">
        <v>22</v>
      </c>
      <c r="F435" s="9" t="s">
        <v>84</v>
      </c>
      <c r="G435" s="9">
        <v>481.85000000000002</v>
      </c>
      <c r="H435" s="9">
        <v>12</v>
      </c>
      <c r="I435" s="9">
        <v>5782.1999999999998</v>
      </c>
      <c r="J435" s="9">
        <v>0.02</v>
      </c>
      <c r="K435" s="9">
        <v>182.36000000000001</v>
      </c>
      <c r="L435" s="9" t="s">
        <v>55</v>
      </c>
      <c r="M435" s="9" t="str">
        <f t="shared" si="0"/>
        <v>20%+</v>
      </c>
    </row>
    <row r="436">
      <c r="A436" s="10">
        <v>45132</v>
      </c>
      <c r="B436" s="9" t="s">
        <v>510</v>
      </c>
      <c r="C436" s="9" t="s">
        <v>15</v>
      </c>
      <c r="D436" s="9" t="s">
        <v>12</v>
      </c>
      <c r="E436" s="9" t="s">
        <v>22</v>
      </c>
      <c r="F436" s="9" t="s">
        <v>110</v>
      </c>
      <c r="G436" s="9">
        <v>25.140000000000001</v>
      </c>
      <c r="H436" s="9">
        <v>9</v>
      </c>
      <c r="I436" s="9">
        <v>226.25999999999999</v>
      </c>
      <c r="J436" s="9">
        <v>0.050000000000000003</v>
      </c>
      <c r="K436" s="9">
        <v>35.539999999999999</v>
      </c>
      <c r="L436" s="9" t="s">
        <v>63</v>
      </c>
      <c r="M436" s="9" t="str">
        <f t="shared" si="0"/>
        <v>0-10%</v>
      </c>
    </row>
    <row r="437">
      <c r="A437" s="10">
        <v>45105</v>
      </c>
      <c r="B437" s="9" t="s">
        <v>511</v>
      </c>
      <c r="C437" s="9" t="s">
        <v>15</v>
      </c>
      <c r="D437" s="9" t="s">
        <v>10</v>
      </c>
      <c r="E437" s="9" t="s">
        <v>19</v>
      </c>
      <c r="F437" s="9" t="s">
        <v>98</v>
      </c>
      <c r="G437" s="9">
        <v>101.18000000000001</v>
      </c>
      <c r="H437" s="9">
        <v>7</v>
      </c>
      <c r="I437" s="9">
        <v>708.25999999999999</v>
      </c>
      <c r="J437" s="9">
        <v>0.14999999999999999</v>
      </c>
      <c r="K437" s="9">
        <v>-13.76</v>
      </c>
      <c r="L437" s="9" t="s">
        <v>55</v>
      </c>
      <c r="M437" s="9" t="str">
        <f t="shared" si="0"/>
        <v>0-10%</v>
      </c>
    </row>
    <row r="438">
      <c r="A438" s="10">
        <v>44956</v>
      </c>
      <c r="B438" s="9" t="s">
        <v>512</v>
      </c>
      <c r="C438" s="9" t="s">
        <v>15</v>
      </c>
      <c r="D438" s="9" t="s">
        <v>9</v>
      </c>
      <c r="E438" s="9" t="s">
        <v>21</v>
      </c>
      <c r="F438" s="9" t="s">
        <v>88</v>
      </c>
      <c r="G438" s="9">
        <v>14.65</v>
      </c>
      <c r="H438" s="9">
        <v>15</v>
      </c>
      <c r="I438" s="9">
        <v>219.75</v>
      </c>
      <c r="J438" s="9">
        <v>0.22</v>
      </c>
      <c r="K438" s="9">
        <v>-27.050000000000001</v>
      </c>
      <c r="L438" s="9" t="s">
        <v>55</v>
      </c>
      <c r="M438" s="9" t="str">
        <f t="shared" si="0"/>
        <v>10-20%</v>
      </c>
    </row>
    <row r="439">
      <c r="A439" s="10">
        <v>45152</v>
      </c>
      <c r="B439" s="9" t="s">
        <v>513</v>
      </c>
      <c r="C439" s="9" t="s">
        <v>16</v>
      </c>
      <c r="D439" s="9" t="s">
        <v>8</v>
      </c>
      <c r="E439" s="9" t="s">
        <v>19</v>
      </c>
      <c r="F439" s="9" t="s">
        <v>57</v>
      </c>
      <c r="G439" s="9">
        <v>396.87</v>
      </c>
      <c r="H439" s="9">
        <v>8</v>
      </c>
      <c r="I439" s="9">
        <v>3174.96</v>
      </c>
      <c r="J439" s="9">
        <v>0.17999999999999999</v>
      </c>
      <c r="K439" s="9">
        <v>-93.049999999999997</v>
      </c>
      <c r="L439" s="9" t="s">
        <v>72</v>
      </c>
      <c r="M439" s="9" t="str">
        <f t="shared" si="0"/>
        <v>20%+</v>
      </c>
    </row>
    <row r="440">
      <c r="A440" s="10">
        <v>44971</v>
      </c>
      <c r="B440" s="9" t="s">
        <v>514</v>
      </c>
      <c r="C440" s="9" t="s">
        <v>14</v>
      </c>
      <c r="D440" s="9" t="s">
        <v>12</v>
      </c>
      <c r="E440" s="9" t="s">
        <v>20</v>
      </c>
      <c r="F440" s="9" t="s">
        <v>80</v>
      </c>
      <c r="G440" s="9">
        <v>354.66000000000003</v>
      </c>
      <c r="H440" s="9">
        <v>1</v>
      </c>
      <c r="I440" s="9">
        <v>354.66000000000003</v>
      </c>
      <c r="J440" s="9">
        <v>0.080000000000000002</v>
      </c>
      <c r="K440" s="9">
        <v>37.890000000000001</v>
      </c>
      <c r="L440" s="9" t="s">
        <v>58</v>
      </c>
      <c r="M440" s="9" t="str">
        <f t="shared" si="0"/>
        <v>10-20%</v>
      </c>
    </row>
    <row r="441">
      <c r="A441" s="10">
        <v>45226</v>
      </c>
      <c r="B441" s="9" t="s">
        <v>515</v>
      </c>
      <c r="C441" s="9" t="s">
        <v>16</v>
      </c>
      <c r="D441" s="9" t="s">
        <v>10</v>
      </c>
      <c r="E441" s="9" t="s">
        <v>20</v>
      </c>
      <c r="F441" s="9" t="s">
        <v>80</v>
      </c>
      <c r="G441" s="9">
        <v>123.58</v>
      </c>
      <c r="H441" s="9">
        <v>11</v>
      </c>
      <c r="I441" s="9">
        <v>1359.3800000000001</v>
      </c>
      <c r="J441" s="9">
        <v>0.02</v>
      </c>
      <c r="K441" s="9">
        <v>61.68</v>
      </c>
      <c r="L441" s="9" t="s">
        <v>63</v>
      </c>
      <c r="M441" s="9" t="str">
        <f t="shared" si="0"/>
        <v>0-10%</v>
      </c>
    </row>
    <row r="442">
      <c r="A442" s="10">
        <v>44966</v>
      </c>
      <c r="B442" s="9" t="s">
        <v>516</v>
      </c>
      <c r="C442" s="9" t="s">
        <v>15</v>
      </c>
      <c r="D442" s="9" t="s">
        <v>8</v>
      </c>
      <c r="E442" s="9" t="s">
        <v>19</v>
      </c>
      <c r="F442" s="9" t="s">
        <v>60</v>
      </c>
      <c r="G442" s="9">
        <v>35.890000000000001</v>
      </c>
      <c r="H442" s="9">
        <v>11</v>
      </c>
      <c r="I442" s="9">
        <v>394.79000000000002</v>
      </c>
      <c r="J442" s="9">
        <v>0.059999999999999998</v>
      </c>
      <c r="K442" s="9">
        <v>19.260000000000002</v>
      </c>
      <c r="L442" s="9" t="s">
        <v>55</v>
      </c>
      <c r="M442" s="9" t="str">
        <f t="shared" si="0"/>
        <v>0-10%</v>
      </c>
    </row>
    <row r="443">
      <c r="A443" s="10">
        <v>45067</v>
      </c>
      <c r="B443" s="9" t="s">
        <v>517</v>
      </c>
      <c r="C443" s="9" t="s">
        <v>14</v>
      </c>
      <c r="D443" s="9" t="s">
        <v>10</v>
      </c>
      <c r="E443" s="9" t="s">
        <v>21</v>
      </c>
      <c r="F443" s="9" t="s">
        <v>96</v>
      </c>
      <c r="G443" s="9">
        <v>497.56999999999999</v>
      </c>
      <c r="H443" s="9">
        <v>7</v>
      </c>
      <c r="I443" s="9">
        <v>3482.9899999999998</v>
      </c>
      <c r="J443" s="9">
        <v>0.059999999999999998</v>
      </c>
      <c r="K443" s="9">
        <v>503.74000000000001</v>
      </c>
      <c r="L443" s="9" t="s">
        <v>63</v>
      </c>
      <c r="M443" s="9" t="str">
        <f t="shared" si="0"/>
        <v>0-10%</v>
      </c>
    </row>
    <row r="444">
      <c r="A444" s="10">
        <v>45136</v>
      </c>
      <c r="B444" s="9" t="s">
        <v>518</v>
      </c>
      <c r="C444" s="9" t="s">
        <v>15</v>
      </c>
      <c r="D444" s="9" t="s">
        <v>10</v>
      </c>
      <c r="E444" s="9" t="s">
        <v>21</v>
      </c>
      <c r="F444" s="9" t="s">
        <v>82</v>
      </c>
      <c r="G444" s="9">
        <v>405.58999999999997</v>
      </c>
      <c r="H444" s="9">
        <v>4</v>
      </c>
      <c r="I444" s="9">
        <v>1622.3599999999999</v>
      </c>
      <c r="J444" s="9">
        <v>0.25</v>
      </c>
      <c r="K444" s="9">
        <v>-203.84</v>
      </c>
      <c r="L444" s="9" t="s">
        <v>55</v>
      </c>
      <c r="M444" s="9" t="str">
        <f t="shared" si="0"/>
        <v>0-10%</v>
      </c>
    </row>
    <row r="445">
      <c r="A445" s="10">
        <v>45055</v>
      </c>
      <c r="B445" s="9" t="s">
        <v>519</v>
      </c>
      <c r="C445" s="9" t="s">
        <v>15</v>
      </c>
      <c r="D445" s="9" t="s">
        <v>12</v>
      </c>
      <c r="E445" s="9" t="s">
        <v>21</v>
      </c>
      <c r="F445" s="9" t="s">
        <v>78</v>
      </c>
      <c r="G445" s="9">
        <v>410.93000000000001</v>
      </c>
      <c r="H445" s="9">
        <v>12</v>
      </c>
      <c r="I445" s="9">
        <v>4931.1599999999999</v>
      </c>
      <c r="J445" s="9">
        <v>0.28000000000000003</v>
      </c>
      <c r="K445" s="9">
        <v>-800.23000000000002</v>
      </c>
      <c r="L445" s="9" t="s">
        <v>72</v>
      </c>
      <c r="M445" s="9" t="str">
        <f t="shared" si="0"/>
        <v>20%+</v>
      </c>
    </row>
    <row r="446">
      <c r="A446" s="10">
        <v>45237</v>
      </c>
      <c r="B446" s="9" t="s">
        <v>520</v>
      </c>
      <c r="C446" s="9" t="s">
        <v>16</v>
      </c>
      <c r="D446" s="9" t="s">
        <v>12</v>
      </c>
      <c r="E446" s="9" t="s">
        <v>21</v>
      </c>
      <c r="F446" s="9" t="s">
        <v>96</v>
      </c>
      <c r="G446" s="9">
        <v>463.06</v>
      </c>
      <c r="H446" s="9">
        <v>11</v>
      </c>
      <c r="I446" s="9">
        <v>5093.6599999999999</v>
      </c>
      <c r="J446" s="9">
        <v>0.14999999999999999</v>
      </c>
      <c r="K446" s="9">
        <v>-138.53999999999999</v>
      </c>
      <c r="L446" s="9" t="s">
        <v>63</v>
      </c>
      <c r="M446" s="9" t="str">
        <f t="shared" si="0"/>
        <v>20%+</v>
      </c>
    </row>
    <row r="447">
      <c r="A447" s="10">
        <v>44927</v>
      </c>
      <c r="B447" s="9" t="s">
        <v>521</v>
      </c>
      <c r="C447" s="9" t="s">
        <v>15</v>
      </c>
      <c r="D447" s="9" t="s">
        <v>9</v>
      </c>
      <c r="E447" s="9" t="s">
        <v>22</v>
      </c>
      <c r="F447" s="9" t="s">
        <v>84</v>
      </c>
      <c r="G447" s="9">
        <v>75.510000000000005</v>
      </c>
      <c r="H447" s="9">
        <v>3</v>
      </c>
      <c r="I447" s="9">
        <v>226.53</v>
      </c>
      <c r="J447" s="9">
        <v>0.23000000000000001</v>
      </c>
      <c r="K447" s="9">
        <v>-35.409999999999997</v>
      </c>
      <c r="L447" s="9" t="s">
        <v>58</v>
      </c>
      <c r="M447" s="9" t="str">
        <f t="shared" si="0"/>
        <v>10-20%</v>
      </c>
    </row>
    <row r="448">
      <c r="A448" s="10">
        <v>45139</v>
      </c>
      <c r="B448" s="9" t="s">
        <v>522</v>
      </c>
      <c r="C448" s="9" t="s">
        <v>17</v>
      </c>
      <c r="D448" s="9" t="s">
        <v>8</v>
      </c>
      <c r="E448" s="9" t="s">
        <v>22</v>
      </c>
      <c r="F448" s="9" t="s">
        <v>54</v>
      </c>
      <c r="G448" s="9">
        <v>431.57999999999998</v>
      </c>
      <c r="H448" s="9">
        <v>1</v>
      </c>
      <c r="I448" s="9">
        <v>431.57999999999998</v>
      </c>
      <c r="J448" s="9">
        <v>0.28000000000000003</v>
      </c>
      <c r="K448" s="9">
        <v>-17.41</v>
      </c>
      <c r="L448" s="9" t="s">
        <v>58</v>
      </c>
      <c r="M448" s="9" t="str">
        <f t="shared" si="0"/>
        <v>20%+</v>
      </c>
    </row>
    <row r="449">
      <c r="A449" s="10">
        <v>45284</v>
      </c>
      <c r="B449" s="9" t="s">
        <v>523</v>
      </c>
      <c r="C449" s="9" t="s">
        <v>15</v>
      </c>
      <c r="D449" s="9" t="s">
        <v>10</v>
      </c>
      <c r="E449" s="9" t="s">
        <v>19</v>
      </c>
      <c r="F449" s="9" t="s">
        <v>57</v>
      </c>
      <c r="G449" s="9">
        <v>358.41000000000003</v>
      </c>
      <c r="H449" s="9">
        <v>8</v>
      </c>
      <c r="I449" s="9">
        <v>2867.2800000000002</v>
      </c>
      <c r="J449" s="9">
        <v>0.050000000000000003</v>
      </c>
      <c r="K449" s="9">
        <v>201.88999999999999</v>
      </c>
      <c r="L449" s="9" t="s">
        <v>55</v>
      </c>
      <c r="M449" s="9" t="str">
        <f t="shared" si="0"/>
        <v>20%+</v>
      </c>
    </row>
    <row r="450">
      <c r="A450" s="10">
        <v>45027</v>
      </c>
      <c r="B450" s="9" t="s">
        <v>524</v>
      </c>
      <c r="C450" s="9" t="s">
        <v>14</v>
      </c>
      <c r="D450" s="9" t="s">
        <v>10</v>
      </c>
      <c r="E450" s="9" t="s">
        <v>21</v>
      </c>
      <c r="F450" s="9" t="s">
        <v>96</v>
      </c>
      <c r="G450" s="9">
        <v>489.80000000000001</v>
      </c>
      <c r="H450" s="9">
        <v>1</v>
      </c>
      <c r="I450" s="9">
        <v>489.80000000000001</v>
      </c>
      <c r="J450" s="9">
        <v>0.029999999999999999</v>
      </c>
      <c r="K450" s="9">
        <v>11.06</v>
      </c>
      <c r="L450" s="9" t="s">
        <v>72</v>
      </c>
      <c r="M450" s="9" t="str">
        <f t="shared" si="0"/>
        <v>0-10%</v>
      </c>
    </row>
    <row r="451">
      <c r="A451" s="10">
        <v>45188</v>
      </c>
      <c r="B451" s="9" t="s">
        <v>525</v>
      </c>
      <c r="C451" s="9" t="s">
        <v>14</v>
      </c>
      <c r="D451" s="9" t="s">
        <v>11</v>
      </c>
      <c r="E451" s="9" t="s">
        <v>22</v>
      </c>
      <c r="F451" s="9" t="s">
        <v>125</v>
      </c>
      <c r="G451" s="9">
        <v>182.75999999999999</v>
      </c>
      <c r="H451" s="9">
        <v>11</v>
      </c>
      <c r="I451" s="9">
        <v>2010.3599999999999</v>
      </c>
      <c r="J451" s="9">
        <v>0.23000000000000001</v>
      </c>
      <c r="K451" s="9">
        <v>-269.38</v>
      </c>
      <c r="L451" s="9" t="s">
        <v>63</v>
      </c>
      <c r="M451" s="9" t="str">
        <f t="shared" si="0"/>
        <v>0-10%</v>
      </c>
    </row>
    <row r="452">
      <c r="A452" s="10">
        <v>45045</v>
      </c>
      <c r="B452" s="9" t="s">
        <v>526</v>
      </c>
      <c r="C452" s="9" t="s">
        <v>17</v>
      </c>
      <c r="D452" s="9" t="s">
        <v>10</v>
      </c>
      <c r="E452" s="9" t="s">
        <v>22</v>
      </c>
      <c r="F452" s="9" t="s">
        <v>84</v>
      </c>
      <c r="G452" s="9">
        <v>130.97999999999999</v>
      </c>
      <c r="H452" s="9">
        <v>1</v>
      </c>
      <c r="I452" s="9">
        <v>130.97999999999999</v>
      </c>
      <c r="J452" s="9">
        <v>0</v>
      </c>
      <c r="K452" s="9">
        <v>30.579999999999998</v>
      </c>
      <c r="L452" s="9" t="s">
        <v>58</v>
      </c>
      <c r="M452" s="9" t="str">
        <f t="shared" si="0"/>
        <v>20%+</v>
      </c>
    </row>
    <row r="453">
      <c r="A453" s="10">
        <v>45142</v>
      </c>
      <c r="B453" s="9" t="s">
        <v>527</v>
      </c>
      <c r="C453" s="9" t="s">
        <v>15</v>
      </c>
      <c r="D453" s="9" t="s">
        <v>10</v>
      </c>
      <c r="E453" s="9" t="s">
        <v>21</v>
      </c>
      <c r="F453" s="9" t="s">
        <v>76</v>
      </c>
      <c r="G453" s="9">
        <v>98.359999999999999</v>
      </c>
      <c r="H453" s="9">
        <v>12</v>
      </c>
      <c r="I453" s="9">
        <v>1180.3199999999999</v>
      </c>
      <c r="J453" s="9">
        <v>0.16</v>
      </c>
      <c r="K453" s="9">
        <v>34.109999999999999</v>
      </c>
      <c r="L453" s="9" t="s">
        <v>72</v>
      </c>
      <c r="M453" s="9" t="str">
        <f t="shared" si="0"/>
        <v>0-10%</v>
      </c>
    </row>
    <row r="454">
      <c r="A454" s="10">
        <v>45047</v>
      </c>
      <c r="B454" s="9" t="s">
        <v>528</v>
      </c>
      <c r="C454" s="9" t="s">
        <v>14</v>
      </c>
      <c r="D454" s="9" t="s">
        <v>12</v>
      </c>
      <c r="E454" s="9" t="s">
        <v>19</v>
      </c>
      <c r="F454" s="9" t="s">
        <v>67</v>
      </c>
      <c r="G454" s="9">
        <v>393.5</v>
      </c>
      <c r="H454" s="9">
        <v>4</v>
      </c>
      <c r="I454" s="9">
        <v>1574</v>
      </c>
      <c r="J454" s="9">
        <v>0.029999999999999999</v>
      </c>
      <c r="K454" s="9">
        <v>75.969999999999999</v>
      </c>
      <c r="L454" s="9" t="s">
        <v>55</v>
      </c>
      <c r="M454" s="9" t="str">
        <f t="shared" si="0"/>
        <v>10-20%</v>
      </c>
    </row>
    <row r="455">
      <c r="A455" s="10">
        <v>44973</v>
      </c>
      <c r="B455" s="9" t="s">
        <v>529</v>
      </c>
      <c r="C455" s="9" t="s">
        <v>17</v>
      </c>
      <c r="D455" s="9" t="s">
        <v>12</v>
      </c>
      <c r="E455" s="9" t="s">
        <v>19</v>
      </c>
      <c r="F455" s="9" t="s">
        <v>98</v>
      </c>
      <c r="G455" s="9">
        <v>403.75</v>
      </c>
      <c r="H455" s="9">
        <v>5</v>
      </c>
      <c r="I455" s="9">
        <v>2018.75</v>
      </c>
      <c r="J455" s="9">
        <v>0.17999999999999999</v>
      </c>
      <c r="K455" s="9">
        <v>4.1399999999999997</v>
      </c>
      <c r="L455" s="9" t="s">
        <v>58</v>
      </c>
      <c r="M455" s="9" t="str">
        <f t="shared" si="0"/>
        <v>0-10%</v>
      </c>
    </row>
    <row r="456">
      <c r="A456" s="10">
        <v>44994</v>
      </c>
      <c r="B456" s="9" t="s">
        <v>530</v>
      </c>
      <c r="C456" s="9" t="s">
        <v>17</v>
      </c>
      <c r="D456" s="9" t="s">
        <v>9</v>
      </c>
      <c r="E456" s="9" t="s">
        <v>21</v>
      </c>
      <c r="F456" s="9" t="s">
        <v>76</v>
      </c>
      <c r="G456" s="9">
        <v>261.04000000000002</v>
      </c>
      <c r="H456" s="9">
        <v>2</v>
      </c>
      <c r="I456" s="9">
        <v>522.08000000000004</v>
      </c>
      <c r="J456" s="9">
        <v>0</v>
      </c>
      <c r="K456" s="9">
        <v>114.34999999999999</v>
      </c>
      <c r="L456" s="9" t="s">
        <v>63</v>
      </c>
      <c r="M456" s="9" t="str">
        <f t="shared" si="0"/>
        <v>10-20%</v>
      </c>
    </row>
    <row r="457">
      <c r="A457" s="10">
        <v>45160</v>
      </c>
      <c r="B457" s="9" t="s">
        <v>531</v>
      </c>
      <c r="C457" s="9" t="s">
        <v>16</v>
      </c>
      <c r="D457" s="9" t="s">
        <v>10</v>
      </c>
      <c r="E457" s="9" t="s">
        <v>19</v>
      </c>
      <c r="F457" s="9" t="s">
        <v>57</v>
      </c>
      <c r="G457" s="9">
        <v>88.890000000000001</v>
      </c>
      <c r="H457" s="9">
        <v>4</v>
      </c>
      <c r="I457" s="9">
        <v>355.56</v>
      </c>
      <c r="J457" s="9">
        <v>0.28999999999999998</v>
      </c>
      <c r="K457" s="9">
        <v>-69.359999999999999</v>
      </c>
      <c r="L457" s="9" t="s">
        <v>63</v>
      </c>
      <c r="M457" s="9" t="str">
        <f t="shared" si="0"/>
        <v>0-10%</v>
      </c>
    </row>
    <row r="458">
      <c r="A458" s="10">
        <v>45249</v>
      </c>
      <c r="B458" s="9" t="s">
        <v>532</v>
      </c>
      <c r="C458" s="9" t="s">
        <v>14</v>
      </c>
      <c r="D458" s="9" t="s">
        <v>11</v>
      </c>
      <c r="E458" s="9" t="s">
        <v>21</v>
      </c>
      <c r="F458" s="9" t="s">
        <v>78</v>
      </c>
      <c r="G458" s="9">
        <v>203.34</v>
      </c>
      <c r="H458" s="9">
        <v>8</v>
      </c>
      <c r="I458" s="9">
        <v>1626.72</v>
      </c>
      <c r="J458" s="9">
        <v>0.01</v>
      </c>
      <c r="K458" s="9">
        <v>246.74000000000001</v>
      </c>
      <c r="L458" s="9" t="s">
        <v>63</v>
      </c>
      <c r="M458" s="9" t="str">
        <f t="shared" si="0"/>
        <v>20%+</v>
      </c>
    </row>
    <row r="459">
      <c r="A459" s="10">
        <v>45010</v>
      </c>
      <c r="B459" s="9" t="s">
        <v>533</v>
      </c>
      <c r="C459" s="9" t="s">
        <v>15</v>
      </c>
      <c r="D459" s="9" t="s">
        <v>8</v>
      </c>
      <c r="E459" s="9" t="s">
        <v>19</v>
      </c>
      <c r="F459" s="9" t="s">
        <v>98</v>
      </c>
      <c r="G459" s="9">
        <v>496.55000000000001</v>
      </c>
      <c r="H459" s="9">
        <v>5</v>
      </c>
      <c r="I459" s="9">
        <v>2482.75</v>
      </c>
      <c r="J459" s="9">
        <v>0.02</v>
      </c>
      <c r="K459" s="9">
        <v>423.10000000000002</v>
      </c>
      <c r="L459" s="9" t="s">
        <v>63</v>
      </c>
      <c r="M459" s="9" t="str">
        <f t="shared" si="0"/>
        <v>0-10%</v>
      </c>
    </row>
    <row r="460">
      <c r="A460" s="10">
        <v>44950</v>
      </c>
      <c r="B460" s="9" t="s">
        <v>534</v>
      </c>
      <c r="C460" s="9" t="s">
        <v>16</v>
      </c>
      <c r="D460" s="9" t="s">
        <v>9</v>
      </c>
      <c r="E460" s="9" t="s">
        <v>21</v>
      </c>
      <c r="F460" s="9" t="s">
        <v>78</v>
      </c>
      <c r="G460" s="9">
        <v>235.16</v>
      </c>
      <c r="H460" s="9">
        <v>9</v>
      </c>
      <c r="I460" s="9">
        <v>2116.4400000000001</v>
      </c>
      <c r="J460" s="9">
        <v>0.22</v>
      </c>
      <c r="K460" s="9">
        <v>-140.78</v>
      </c>
      <c r="L460" s="9" t="s">
        <v>58</v>
      </c>
      <c r="M460" s="9" t="str">
        <f t="shared" si="0"/>
        <v>0-10%</v>
      </c>
    </row>
    <row r="461">
      <c r="A461" s="10">
        <v>45195</v>
      </c>
      <c r="B461" s="9" t="s">
        <v>535</v>
      </c>
      <c r="C461" s="9" t="s">
        <v>14</v>
      </c>
      <c r="D461" s="9" t="s">
        <v>12</v>
      </c>
      <c r="E461" s="9" t="s">
        <v>21</v>
      </c>
      <c r="F461" s="9" t="s">
        <v>78</v>
      </c>
      <c r="G461" s="9">
        <v>25.84</v>
      </c>
      <c r="H461" s="9">
        <v>13</v>
      </c>
      <c r="I461" s="9">
        <v>335.92000000000002</v>
      </c>
      <c r="J461" s="9">
        <v>0.20999999999999999</v>
      </c>
      <c r="K461" s="9">
        <v>-31.32</v>
      </c>
      <c r="L461" s="9" t="s">
        <v>58</v>
      </c>
      <c r="M461" s="9" t="str">
        <f t="shared" si="0"/>
        <v>20%+</v>
      </c>
    </row>
    <row r="462">
      <c r="A462" s="10">
        <v>45162</v>
      </c>
      <c r="B462" s="9" t="s">
        <v>536</v>
      </c>
      <c r="C462" s="9" t="s">
        <v>16</v>
      </c>
      <c r="D462" s="9" t="s">
        <v>8</v>
      </c>
      <c r="E462" s="9" t="s">
        <v>22</v>
      </c>
      <c r="F462" s="9" t="s">
        <v>84</v>
      </c>
      <c r="G462" s="9">
        <v>106.7</v>
      </c>
      <c r="H462" s="9">
        <v>4</v>
      </c>
      <c r="I462" s="9">
        <v>426.80000000000001</v>
      </c>
      <c r="J462" s="9">
        <v>0.26000000000000001</v>
      </c>
      <c r="K462" s="9">
        <v>-26.789999999999999</v>
      </c>
      <c r="L462" s="9" t="s">
        <v>72</v>
      </c>
      <c r="M462" s="9" t="str">
        <f t="shared" si="0"/>
        <v>20%+</v>
      </c>
    </row>
    <row r="463">
      <c r="A463" s="10">
        <v>45008</v>
      </c>
      <c r="B463" s="9" t="s">
        <v>537</v>
      </c>
      <c r="C463" s="9" t="s">
        <v>14</v>
      </c>
      <c r="D463" s="9" t="s">
        <v>8</v>
      </c>
      <c r="E463" s="9" t="s">
        <v>22</v>
      </c>
      <c r="F463" s="9" t="s">
        <v>110</v>
      </c>
      <c r="G463" s="9">
        <v>254.75</v>
      </c>
      <c r="H463" s="9">
        <v>7</v>
      </c>
      <c r="I463" s="9">
        <v>1783.25</v>
      </c>
      <c r="J463" s="9">
        <v>0.14999999999999999</v>
      </c>
      <c r="K463" s="9">
        <v>170.03999999999999</v>
      </c>
      <c r="L463" s="9" t="s">
        <v>55</v>
      </c>
      <c r="M463" s="9" t="str">
        <f t="shared" si="0"/>
        <v>20%+</v>
      </c>
    </row>
    <row r="464">
      <c r="A464" s="10">
        <v>45029</v>
      </c>
      <c r="B464" s="9" t="s">
        <v>538</v>
      </c>
      <c r="C464" s="9" t="s">
        <v>16</v>
      </c>
      <c r="D464" s="9" t="s">
        <v>11</v>
      </c>
      <c r="E464" s="9" t="s">
        <v>21</v>
      </c>
      <c r="F464" s="9" t="s">
        <v>88</v>
      </c>
      <c r="G464" s="9">
        <v>495.50999999999999</v>
      </c>
      <c r="H464" s="9">
        <v>13</v>
      </c>
      <c r="I464" s="9">
        <v>6441.6300000000001</v>
      </c>
      <c r="J464" s="9">
        <v>0.029999999999999999</v>
      </c>
      <c r="K464" s="9">
        <v>496.35000000000002</v>
      </c>
      <c r="L464" s="9" t="s">
        <v>63</v>
      </c>
      <c r="M464" s="9" t="str">
        <f t="shared" si="0"/>
        <v>10-20%</v>
      </c>
    </row>
    <row r="465">
      <c r="A465" s="10">
        <v>45059</v>
      </c>
      <c r="B465" s="9" t="s">
        <v>539</v>
      </c>
      <c r="C465" s="9" t="s">
        <v>15</v>
      </c>
      <c r="D465" s="9" t="s">
        <v>10</v>
      </c>
      <c r="E465" s="9" t="s">
        <v>19</v>
      </c>
      <c r="F465" s="9" t="s">
        <v>60</v>
      </c>
      <c r="G465" s="9">
        <v>296.81</v>
      </c>
      <c r="H465" s="9">
        <v>10</v>
      </c>
      <c r="I465" s="9">
        <v>2968.0999999999999</v>
      </c>
      <c r="J465" s="9">
        <v>0.23000000000000001</v>
      </c>
      <c r="K465" s="9">
        <v>41.030000000000001</v>
      </c>
      <c r="L465" s="9" t="s">
        <v>58</v>
      </c>
      <c r="M465" s="9" t="str">
        <f t="shared" si="0"/>
        <v>0-10%</v>
      </c>
    </row>
    <row r="466">
      <c r="A466" s="10">
        <v>45015</v>
      </c>
      <c r="B466" s="9" t="s">
        <v>540</v>
      </c>
      <c r="C466" s="9" t="s">
        <v>14</v>
      </c>
      <c r="D466" s="9" t="s">
        <v>10</v>
      </c>
      <c r="E466" s="9" t="s">
        <v>21</v>
      </c>
      <c r="F466" s="9" t="s">
        <v>82</v>
      </c>
      <c r="G466" s="9">
        <v>340.30000000000001</v>
      </c>
      <c r="H466" s="9">
        <v>3</v>
      </c>
      <c r="I466" s="9">
        <v>1020.9</v>
      </c>
      <c r="J466" s="9">
        <v>0.26000000000000001</v>
      </c>
      <c r="K466" s="9">
        <v>-107.97</v>
      </c>
      <c r="L466" s="9" t="s">
        <v>55</v>
      </c>
      <c r="M466" s="9" t="str">
        <f t="shared" si="0"/>
        <v>20%+</v>
      </c>
    </row>
    <row r="467">
      <c r="A467" s="10">
        <v>45081</v>
      </c>
      <c r="B467" s="9" t="s">
        <v>541</v>
      </c>
      <c r="C467" s="9" t="s">
        <v>17</v>
      </c>
      <c r="D467" s="9" t="s">
        <v>8</v>
      </c>
      <c r="E467" s="9" t="s">
        <v>20</v>
      </c>
      <c r="F467" s="9" t="s">
        <v>69</v>
      </c>
      <c r="G467" s="9">
        <v>159.93000000000001</v>
      </c>
      <c r="H467" s="9">
        <v>2</v>
      </c>
      <c r="I467" s="9">
        <v>319.86000000000001</v>
      </c>
      <c r="J467" s="9">
        <v>0.23000000000000001</v>
      </c>
      <c r="K467" s="9">
        <v>-1.78</v>
      </c>
      <c r="L467" s="9" t="s">
        <v>63</v>
      </c>
      <c r="M467" s="9" t="str">
        <f t="shared" si="0"/>
        <v>20%+</v>
      </c>
    </row>
    <row r="468">
      <c r="A468" s="10">
        <v>45235</v>
      </c>
      <c r="B468" s="9" t="s">
        <v>542</v>
      </c>
      <c r="C468" s="9" t="s">
        <v>16</v>
      </c>
      <c r="D468" s="9" t="s">
        <v>10</v>
      </c>
      <c r="E468" s="9" t="s">
        <v>22</v>
      </c>
      <c r="F468" s="9" t="s">
        <v>54</v>
      </c>
      <c r="G468" s="9">
        <v>464.83999999999997</v>
      </c>
      <c r="H468" s="9">
        <v>13</v>
      </c>
      <c r="I468" s="9">
        <v>6042.9200000000001</v>
      </c>
      <c r="J468" s="9">
        <v>0.16</v>
      </c>
      <c r="K468" s="9">
        <v>-194.66</v>
      </c>
      <c r="L468" s="9" t="s">
        <v>72</v>
      </c>
      <c r="M468" s="9" t="str">
        <f t="shared" si="0"/>
        <v>20%+</v>
      </c>
    </row>
    <row r="469">
      <c r="A469" s="10">
        <v>45162</v>
      </c>
      <c r="B469" s="9" t="s">
        <v>543</v>
      </c>
      <c r="C469" s="9" t="s">
        <v>17</v>
      </c>
      <c r="D469" s="9" t="s">
        <v>11</v>
      </c>
      <c r="E469" s="9" t="s">
        <v>20</v>
      </c>
      <c r="F469" s="9" t="s">
        <v>69</v>
      </c>
      <c r="G469" s="9">
        <v>195.81</v>
      </c>
      <c r="H469" s="9">
        <v>3</v>
      </c>
      <c r="I469" s="9">
        <v>587.42999999999995</v>
      </c>
      <c r="J469" s="9">
        <v>0.16</v>
      </c>
      <c r="K469" s="9">
        <v>-38.840000000000003</v>
      </c>
      <c r="L469" s="9" t="s">
        <v>72</v>
      </c>
      <c r="M469" s="9" t="str">
        <f t="shared" si="0"/>
        <v>10-20%</v>
      </c>
    </row>
    <row r="470">
      <c r="A470" s="10">
        <v>44969</v>
      </c>
      <c r="B470" s="9" t="s">
        <v>544</v>
      </c>
      <c r="C470" s="9" t="s">
        <v>16</v>
      </c>
      <c r="D470" s="9" t="s">
        <v>12</v>
      </c>
      <c r="E470" s="9" t="s">
        <v>21</v>
      </c>
      <c r="F470" s="9" t="s">
        <v>88</v>
      </c>
      <c r="G470" s="9">
        <v>68.689999999999998</v>
      </c>
      <c r="H470" s="9">
        <v>11</v>
      </c>
      <c r="I470" s="9">
        <v>755.59000000000003</v>
      </c>
      <c r="J470" s="9">
        <v>0.28000000000000003</v>
      </c>
      <c r="K470" s="9">
        <v>-169.15000000000001</v>
      </c>
      <c r="L470" s="9" t="s">
        <v>72</v>
      </c>
      <c r="M470" s="9" t="str">
        <f t="shared" si="0"/>
        <v>10-20%</v>
      </c>
    </row>
    <row r="471">
      <c r="A471" s="10">
        <v>45016</v>
      </c>
      <c r="B471" s="9" t="s">
        <v>545</v>
      </c>
      <c r="C471" s="9" t="s">
        <v>14</v>
      </c>
      <c r="D471" s="9" t="s">
        <v>9</v>
      </c>
      <c r="E471" s="9" t="s">
        <v>22</v>
      </c>
      <c r="F471" s="9" t="s">
        <v>84</v>
      </c>
      <c r="G471" s="9">
        <v>327.94999999999999</v>
      </c>
      <c r="H471" s="9">
        <v>2</v>
      </c>
      <c r="I471" s="9">
        <v>655.89999999999998</v>
      </c>
      <c r="J471" s="9">
        <v>0.13</v>
      </c>
      <c r="K471" s="9">
        <v>-8.3300000000000001</v>
      </c>
      <c r="L471" s="9" t="s">
        <v>72</v>
      </c>
      <c r="M471" s="9" t="str">
        <f t="shared" si="0"/>
        <v>20%+</v>
      </c>
    </row>
    <row r="472">
      <c r="A472" s="10">
        <v>45250</v>
      </c>
      <c r="B472" s="9" t="s">
        <v>546</v>
      </c>
      <c r="C472" s="9" t="s">
        <v>15</v>
      </c>
      <c r="D472" s="9" t="s">
        <v>11</v>
      </c>
      <c r="E472" s="9" t="s">
        <v>20</v>
      </c>
      <c r="F472" s="9" t="s">
        <v>101</v>
      </c>
      <c r="G472" s="9">
        <v>148.93000000000001</v>
      </c>
      <c r="H472" s="9">
        <v>14</v>
      </c>
      <c r="I472" s="9">
        <v>2085.02</v>
      </c>
      <c r="J472" s="9">
        <v>0.17999999999999999</v>
      </c>
      <c r="K472" s="9">
        <v>-252.84</v>
      </c>
      <c r="L472" s="9" t="s">
        <v>58</v>
      </c>
      <c r="M472" s="9" t="str">
        <f t="shared" si="0"/>
        <v>10-20%</v>
      </c>
    </row>
    <row r="473">
      <c r="A473" s="10">
        <v>45047</v>
      </c>
      <c r="B473" s="9" t="s">
        <v>547</v>
      </c>
      <c r="C473" s="9" t="s">
        <v>14</v>
      </c>
      <c r="D473" s="9" t="s">
        <v>12</v>
      </c>
      <c r="E473" s="9" t="s">
        <v>20</v>
      </c>
      <c r="F473" s="9" t="s">
        <v>65</v>
      </c>
      <c r="G473" s="9">
        <v>264.88999999999999</v>
      </c>
      <c r="H473" s="9">
        <v>10</v>
      </c>
      <c r="I473" s="9">
        <v>2648.9000000000001</v>
      </c>
      <c r="J473" s="9">
        <v>0.27000000000000002</v>
      </c>
      <c r="K473" s="9">
        <v>-536.55999999999995</v>
      </c>
      <c r="L473" s="9" t="s">
        <v>58</v>
      </c>
      <c r="M473" s="9" t="str">
        <f t="shared" si="0"/>
        <v>10-20%</v>
      </c>
    </row>
    <row r="474">
      <c r="A474" s="10">
        <v>44960</v>
      </c>
      <c r="B474" s="9" t="s">
        <v>548</v>
      </c>
      <c r="C474" s="9" t="s">
        <v>14</v>
      </c>
      <c r="D474" s="9" t="s">
        <v>12</v>
      </c>
      <c r="E474" s="9" t="s">
        <v>22</v>
      </c>
      <c r="F474" s="9" t="s">
        <v>84</v>
      </c>
      <c r="G474" s="9">
        <v>216.83000000000001</v>
      </c>
      <c r="H474" s="9">
        <v>4</v>
      </c>
      <c r="I474" s="9">
        <v>867.32000000000005</v>
      </c>
      <c r="J474" s="9">
        <v>0.23000000000000001</v>
      </c>
      <c r="K474" s="9">
        <v>16.149999999999999</v>
      </c>
      <c r="L474" s="9" t="s">
        <v>72</v>
      </c>
      <c r="M474" s="9" t="str">
        <f t="shared" si="0"/>
        <v>20%+</v>
      </c>
    </row>
    <row r="475">
      <c r="A475" s="10">
        <v>45075</v>
      </c>
      <c r="B475" s="9" t="s">
        <v>549</v>
      </c>
      <c r="C475" s="9" t="s">
        <v>17</v>
      </c>
      <c r="D475" s="9" t="s">
        <v>12</v>
      </c>
      <c r="E475" s="9" t="s">
        <v>22</v>
      </c>
      <c r="F475" s="9" t="s">
        <v>110</v>
      </c>
      <c r="G475" s="9">
        <v>337.05000000000001</v>
      </c>
      <c r="H475" s="9">
        <v>8</v>
      </c>
      <c r="I475" s="9">
        <v>2696.4000000000001</v>
      </c>
      <c r="J475" s="9">
        <v>0.25</v>
      </c>
      <c r="K475" s="9">
        <v>-266.48000000000002</v>
      </c>
      <c r="L475" s="9" t="s">
        <v>72</v>
      </c>
      <c r="M475" s="9" t="str">
        <f t="shared" si="0"/>
        <v>20%+</v>
      </c>
    </row>
    <row r="476">
      <c r="A476" s="10">
        <v>45288</v>
      </c>
      <c r="B476" s="9" t="s">
        <v>550</v>
      </c>
      <c r="C476" s="9" t="s">
        <v>16</v>
      </c>
      <c r="D476" s="9" t="s">
        <v>11</v>
      </c>
      <c r="E476" s="9" t="s">
        <v>21</v>
      </c>
      <c r="F476" s="9" t="s">
        <v>78</v>
      </c>
      <c r="G476" s="9">
        <v>318.87</v>
      </c>
      <c r="H476" s="9">
        <v>7</v>
      </c>
      <c r="I476" s="9">
        <v>2232.0900000000001</v>
      </c>
      <c r="J476" s="9">
        <v>0.20999999999999999</v>
      </c>
      <c r="K476" s="9">
        <v>-49.090000000000003</v>
      </c>
      <c r="L476" s="9" t="s">
        <v>58</v>
      </c>
      <c r="M476" s="9" t="str">
        <f t="shared" si="0"/>
        <v>20%+</v>
      </c>
    </row>
    <row r="477">
      <c r="A477" s="10">
        <v>45027</v>
      </c>
      <c r="B477" s="9" t="s">
        <v>551</v>
      </c>
      <c r="C477" s="9" t="s">
        <v>15</v>
      </c>
      <c r="D477" s="9" t="s">
        <v>12</v>
      </c>
      <c r="E477" s="9" t="s">
        <v>20</v>
      </c>
      <c r="F477" s="9" t="s">
        <v>69</v>
      </c>
      <c r="G477" s="9">
        <v>363.31</v>
      </c>
      <c r="H477" s="9">
        <v>12</v>
      </c>
      <c r="I477" s="9">
        <v>4359.7200000000003</v>
      </c>
      <c r="J477" s="9">
        <v>0.089999999999999997</v>
      </c>
      <c r="K477" s="9">
        <v>-81.670000000000002</v>
      </c>
      <c r="L477" s="9" t="s">
        <v>72</v>
      </c>
      <c r="M477" s="9" t="str">
        <f t="shared" si="0"/>
        <v>20%+</v>
      </c>
    </row>
    <row r="478">
      <c r="A478" s="10">
        <v>44953</v>
      </c>
      <c r="B478" s="9" t="s">
        <v>552</v>
      </c>
      <c r="C478" s="9" t="s">
        <v>17</v>
      </c>
      <c r="D478" s="9" t="s">
        <v>11</v>
      </c>
      <c r="E478" s="9" t="s">
        <v>22</v>
      </c>
      <c r="F478" s="9" t="s">
        <v>54</v>
      </c>
      <c r="G478" s="9">
        <v>81.180000000000007</v>
      </c>
      <c r="H478" s="9">
        <v>1</v>
      </c>
      <c r="I478" s="9">
        <v>81.180000000000007</v>
      </c>
      <c r="J478" s="9">
        <v>0</v>
      </c>
      <c r="K478" s="9">
        <v>8.3000000000000007</v>
      </c>
      <c r="L478" s="9" t="s">
        <v>58</v>
      </c>
      <c r="M478" s="9" t="str">
        <f t="shared" si="0"/>
        <v>0-10%</v>
      </c>
    </row>
    <row r="479">
      <c r="A479" s="10">
        <v>44955</v>
      </c>
      <c r="B479" s="9" t="s">
        <v>553</v>
      </c>
      <c r="C479" s="9" t="s">
        <v>16</v>
      </c>
      <c r="D479" s="9" t="s">
        <v>12</v>
      </c>
      <c r="E479" s="9" t="s">
        <v>21</v>
      </c>
      <c r="F479" s="9" t="s">
        <v>96</v>
      </c>
      <c r="G479" s="9">
        <v>456.43000000000001</v>
      </c>
      <c r="H479" s="9">
        <v>1</v>
      </c>
      <c r="I479" s="9">
        <v>456.43000000000001</v>
      </c>
      <c r="J479" s="9">
        <v>0.040000000000000001</v>
      </c>
      <c r="K479" s="9">
        <v>70.25</v>
      </c>
      <c r="L479" s="9" t="s">
        <v>55</v>
      </c>
      <c r="M479" s="9" t="str">
        <f t="shared" si="0"/>
        <v>0-10%</v>
      </c>
    </row>
    <row r="480">
      <c r="A480" s="10">
        <v>44996</v>
      </c>
      <c r="B480" s="9" t="s">
        <v>554</v>
      </c>
      <c r="C480" s="9" t="s">
        <v>15</v>
      </c>
      <c r="D480" s="9" t="s">
        <v>8</v>
      </c>
      <c r="E480" s="9" t="s">
        <v>22</v>
      </c>
      <c r="F480" s="9" t="s">
        <v>125</v>
      </c>
      <c r="G480" s="9">
        <v>256.33999999999997</v>
      </c>
      <c r="H480" s="9">
        <v>15</v>
      </c>
      <c r="I480" s="9">
        <v>3845.0999999999999</v>
      </c>
      <c r="J480" s="9">
        <v>0.27000000000000002</v>
      </c>
      <c r="K480" s="9">
        <v>-206.75</v>
      </c>
      <c r="L480" s="9" t="s">
        <v>63</v>
      </c>
      <c r="M480" s="9" t="str">
        <f t="shared" si="0"/>
        <v>0-10%</v>
      </c>
    </row>
    <row r="481">
      <c r="A481" s="10">
        <v>44963</v>
      </c>
      <c r="B481" s="9" t="s">
        <v>555</v>
      </c>
      <c r="C481" s="9" t="s">
        <v>14</v>
      </c>
      <c r="D481" s="9" t="s">
        <v>12</v>
      </c>
      <c r="E481" s="9" t="s">
        <v>20</v>
      </c>
      <c r="F481" s="9" t="s">
        <v>80</v>
      </c>
      <c r="G481" s="9">
        <v>279.56999999999999</v>
      </c>
      <c r="H481" s="9">
        <v>2</v>
      </c>
      <c r="I481" s="9">
        <v>559.13999999999999</v>
      </c>
      <c r="J481" s="9">
        <v>0.080000000000000002</v>
      </c>
      <c r="K481" s="9">
        <v>-7.1200000000000001</v>
      </c>
      <c r="L481" s="9" t="s">
        <v>58</v>
      </c>
      <c r="M481" s="9" t="str">
        <f t="shared" si="0"/>
        <v>20%+</v>
      </c>
    </row>
    <row r="482">
      <c r="A482" s="10">
        <v>45283</v>
      </c>
      <c r="B482" s="9" t="s">
        <v>556</v>
      </c>
      <c r="C482" s="9" t="s">
        <v>17</v>
      </c>
      <c r="D482" s="9" t="s">
        <v>9</v>
      </c>
      <c r="E482" s="9" t="s">
        <v>19</v>
      </c>
      <c r="F482" s="9" t="s">
        <v>57</v>
      </c>
      <c r="G482" s="9">
        <v>466.22000000000003</v>
      </c>
      <c r="H482" s="9">
        <v>12</v>
      </c>
      <c r="I482" s="9">
        <v>5594.6400000000003</v>
      </c>
      <c r="J482" s="9">
        <v>0.029999999999999999</v>
      </c>
      <c r="K482" s="9">
        <v>1199.8900000000001</v>
      </c>
      <c r="L482" s="9" t="s">
        <v>58</v>
      </c>
      <c r="M482" s="9" t="str">
        <f t="shared" si="0"/>
        <v>0-10%</v>
      </c>
    </row>
    <row r="483">
      <c r="A483" s="10">
        <v>45272</v>
      </c>
      <c r="B483" s="9" t="s">
        <v>557</v>
      </c>
      <c r="C483" s="9" t="s">
        <v>15</v>
      </c>
      <c r="D483" s="9" t="s">
        <v>9</v>
      </c>
      <c r="E483" s="9" t="s">
        <v>20</v>
      </c>
      <c r="F483" s="9" t="s">
        <v>80</v>
      </c>
      <c r="G483" s="9">
        <v>466.60000000000002</v>
      </c>
      <c r="H483" s="9">
        <v>2</v>
      </c>
      <c r="I483" s="9">
        <v>933.20000000000005</v>
      </c>
      <c r="J483" s="9">
        <v>0.070000000000000007</v>
      </c>
      <c r="K483" s="9">
        <v>15.789999999999999</v>
      </c>
      <c r="L483" s="9" t="s">
        <v>58</v>
      </c>
      <c r="M483" s="9" t="str">
        <f t="shared" si="0"/>
        <v>0-10%</v>
      </c>
    </row>
    <row r="484">
      <c r="A484" s="10">
        <v>45229</v>
      </c>
      <c r="B484" s="9" t="s">
        <v>558</v>
      </c>
      <c r="C484" s="9" t="s">
        <v>17</v>
      </c>
      <c r="D484" s="9" t="s">
        <v>9</v>
      </c>
      <c r="E484" s="9" t="s">
        <v>20</v>
      </c>
      <c r="F484" s="9" t="s">
        <v>65</v>
      </c>
      <c r="G484" s="9">
        <v>352.5</v>
      </c>
      <c r="H484" s="9">
        <v>3</v>
      </c>
      <c r="I484" s="9">
        <v>1057.5</v>
      </c>
      <c r="J484" s="9">
        <v>0.11</v>
      </c>
      <c r="K484" s="9">
        <v>113.83</v>
      </c>
      <c r="L484" s="9" t="s">
        <v>72</v>
      </c>
      <c r="M484" s="9" t="str">
        <f t="shared" si="0"/>
        <v>0-10%</v>
      </c>
    </row>
    <row r="485">
      <c r="A485" s="10">
        <v>45157</v>
      </c>
      <c r="B485" s="9" t="s">
        <v>559</v>
      </c>
      <c r="C485" s="9" t="s">
        <v>15</v>
      </c>
      <c r="D485" s="9" t="s">
        <v>8</v>
      </c>
      <c r="E485" s="9" t="s">
        <v>21</v>
      </c>
      <c r="F485" s="9" t="s">
        <v>78</v>
      </c>
      <c r="G485" s="9">
        <v>144.52000000000001</v>
      </c>
      <c r="H485" s="9">
        <v>10</v>
      </c>
      <c r="I485" s="9">
        <v>1445.2</v>
      </c>
      <c r="J485" s="9">
        <v>0.28999999999999998</v>
      </c>
      <c r="K485" s="9">
        <v>-255.05000000000001</v>
      </c>
      <c r="L485" s="9" t="s">
        <v>55</v>
      </c>
      <c r="M485" s="9" t="str">
        <f t="shared" si="0"/>
        <v>10-20%</v>
      </c>
    </row>
    <row r="486">
      <c r="A486" s="10">
        <v>45118</v>
      </c>
      <c r="B486" s="9" t="s">
        <v>560</v>
      </c>
      <c r="C486" s="9" t="s">
        <v>14</v>
      </c>
      <c r="D486" s="9" t="s">
        <v>10</v>
      </c>
      <c r="E486" s="9" t="s">
        <v>20</v>
      </c>
      <c r="F486" s="9" t="s">
        <v>101</v>
      </c>
      <c r="G486" s="9">
        <v>191.75999999999999</v>
      </c>
      <c r="H486" s="9">
        <v>5</v>
      </c>
      <c r="I486" s="9">
        <v>958.79999999999995</v>
      </c>
      <c r="J486" s="9">
        <v>0.11</v>
      </c>
      <c r="K486" s="9">
        <v>-0.85999999999999999</v>
      </c>
      <c r="L486" s="9" t="s">
        <v>55</v>
      </c>
      <c r="M486" s="9" t="str">
        <f t="shared" si="0"/>
        <v>20%+</v>
      </c>
    </row>
    <row r="487">
      <c r="A487" s="10">
        <v>45147</v>
      </c>
      <c r="B487" s="9" t="s">
        <v>561</v>
      </c>
      <c r="C487" s="9" t="s">
        <v>16</v>
      </c>
      <c r="D487" s="9" t="s">
        <v>10</v>
      </c>
      <c r="E487" s="9" t="s">
        <v>22</v>
      </c>
      <c r="F487" s="9" t="s">
        <v>54</v>
      </c>
      <c r="G487" s="9">
        <v>490.79000000000002</v>
      </c>
      <c r="H487" s="9">
        <v>9</v>
      </c>
      <c r="I487" s="9">
        <v>4417.1099999999997</v>
      </c>
      <c r="J487" s="9">
        <v>0.01</v>
      </c>
      <c r="K487" s="9">
        <v>678.92999999999995</v>
      </c>
      <c r="L487" s="9" t="s">
        <v>63</v>
      </c>
      <c r="M487" s="9" t="str">
        <f t="shared" si="0"/>
        <v>10-20%</v>
      </c>
    </row>
    <row r="488">
      <c r="A488" s="10">
        <v>45062</v>
      </c>
      <c r="B488" s="9" t="s">
        <v>562</v>
      </c>
      <c r="C488" s="9" t="s">
        <v>17</v>
      </c>
      <c r="D488" s="9" t="s">
        <v>9</v>
      </c>
      <c r="E488" s="9" t="s">
        <v>21</v>
      </c>
      <c r="F488" s="9" t="s">
        <v>78</v>
      </c>
      <c r="G488" s="9">
        <v>165.31</v>
      </c>
      <c r="H488" s="9">
        <v>10</v>
      </c>
      <c r="I488" s="9">
        <v>1653.0999999999999</v>
      </c>
      <c r="J488" s="9">
        <v>0.12</v>
      </c>
      <c r="K488" s="9">
        <v>5.9299999999999997</v>
      </c>
      <c r="L488" s="9" t="s">
        <v>58</v>
      </c>
      <c r="M488" s="9" t="str">
        <f t="shared" si="0"/>
        <v>0-10%</v>
      </c>
    </row>
    <row r="489">
      <c r="A489" s="10">
        <v>45238</v>
      </c>
      <c r="B489" s="9" t="s">
        <v>563</v>
      </c>
      <c r="C489" s="9" t="s">
        <v>16</v>
      </c>
      <c r="D489" s="9" t="s">
        <v>12</v>
      </c>
      <c r="E489" s="9" t="s">
        <v>19</v>
      </c>
      <c r="F489" s="9" t="s">
        <v>62</v>
      </c>
      <c r="G489" s="9">
        <v>54.189999999999998</v>
      </c>
      <c r="H489" s="9">
        <v>14</v>
      </c>
      <c r="I489" s="9">
        <v>758.65999999999997</v>
      </c>
      <c r="J489" s="9">
        <v>0.26000000000000001</v>
      </c>
      <c r="K489" s="9">
        <v>-139.52000000000001</v>
      </c>
      <c r="L489" s="9" t="s">
        <v>63</v>
      </c>
      <c r="M489" s="9" t="str">
        <f t="shared" si="0"/>
        <v>10-20%</v>
      </c>
    </row>
    <row r="490">
      <c r="A490" s="10">
        <v>45106</v>
      </c>
      <c r="B490" s="9" t="s">
        <v>564</v>
      </c>
      <c r="C490" s="9" t="s">
        <v>17</v>
      </c>
      <c r="D490" s="9" t="s">
        <v>8</v>
      </c>
      <c r="E490" s="9" t="s">
        <v>21</v>
      </c>
      <c r="F490" s="9" t="s">
        <v>76</v>
      </c>
      <c r="G490" s="9">
        <v>357.58999999999997</v>
      </c>
      <c r="H490" s="9">
        <v>10</v>
      </c>
      <c r="I490" s="9">
        <v>3575.9000000000001</v>
      </c>
      <c r="J490" s="9">
        <v>0.01</v>
      </c>
      <c r="K490" s="9">
        <v>453.26999999999998</v>
      </c>
      <c r="L490" s="9" t="s">
        <v>55</v>
      </c>
      <c r="M490" s="9" t="str">
        <f t="shared" si="0"/>
        <v>20%+</v>
      </c>
    </row>
    <row r="491">
      <c r="A491" s="10">
        <v>45138</v>
      </c>
      <c r="B491" s="9" t="s">
        <v>565</v>
      </c>
      <c r="C491" s="9" t="s">
        <v>16</v>
      </c>
      <c r="D491" s="9" t="s">
        <v>12</v>
      </c>
      <c r="E491" s="9" t="s">
        <v>22</v>
      </c>
      <c r="F491" s="9" t="s">
        <v>54</v>
      </c>
      <c r="G491" s="9">
        <v>399.38</v>
      </c>
      <c r="H491" s="9">
        <v>15</v>
      </c>
      <c r="I491" s="9">
        <v>5990.6999999999998</v>
      </c>
      <c r="J491" s="9">
        <v>0.080000000000000002</v>
      </c>
      <c r="K491" s="9">
        <v>429.68000000000001</v>
      </c>
      <c r="L491" s="9" t="s">
        <v>55</v>
      </c>
      <c r="M491" s="9" t="str">
        <f t="shared" si="0"/>
        <v>0-10%</v>
      </c>
    </row>
    <row r="492">
      <c r="A492" s="10">
        <v>45170</v>
      </c>
      <c r="B492" s="9" t="s">
        <v>566</v>
      </c>
      <c r="C492" s="9" t="s">
        <v>16</v>
      </c>
      <c r="D492" s="9" t="s">
        <v>9</v>
      </c>
      <c r="E492" s="9" t="s">
        <v>22</v>
      </c>
      <c r="F492" s="9" t="s">
        <v>84</v>
      </c>
      <c r="G492" s="9">
        <v>287.31</v>
      </c>
      <c r="H492" s="9">
        <v>5</v>
      </c>
      <c r="I492" s="9">
        <v>1436.55</v>
      </c>
      <c r="J492" s="9">
        <v>0.23000000000000001</v>
      </c>
      <c r="K492" s="9">
        <v>-52.700000000000003</v>
      </c>
      <c r="L492" s="9" t="s">
        <v>55</v>
      </c>
      <c r="M492" s="9" t="str">
        <f t="shared" si="0"/>
        <v>0-10%</v>
      </c>
    </row>
    <row r="493">
      <c r="A493" s="10">
        <v>45078</v>
      </c>
      <c r="B493" s="9" t="s">
        <v>567</v>
      </c>
      <c r="C493" s="9" t="s">
        <v>17</v>
      </c>
      <c r="D493" s="9" t="s">
        <v>9</v>
      </c>
      <c r="E493" s="9" t="s">
        <v>19</v>
      </c>
      <c r="F493" s="9" t="s">
        <v>67</v>
      </c>
      <c r="G493" s="9">
        <v>316.63999999999999</v>
      </c>
      <c r="H493" s="9">
        <v>7</v>
      </c>
      <c r="I493" s="9">
        <v>2216.48</v>
      </c>
      <c r="J493" s="9">
        <v>0.10000000000000001</v>
      </c>
      <c r="K493" s="9">
        <v>263.22000000000003</v>
      </c>
      <c r="L493" s="9" t="s">
        <v>72</v>
      </c>
      <c r="M493" s="9" t="str">
        <f t="shared" si="0"/>
        <v>20%+</v>
      </c>
    </row>
    <row r="494">
      <c r="A494" s="10">
        <v>44995</v>
      </c>
      <c r="B494" s="9" t="s">
        <v>568</v>
      </c>
      <c r="C494" s="9" t="s">
        <v>14</v>
      </c>
      <c r="D494" s="9" t="s">
        <v>11</v>
      </c>
      <c r="E494" s="9" t="s">
        <v>21</v>
      </c>
      <c r="F494" s="9" t="s">
        <v>78</v>
      </c>
      <c r="G494" s="9">
        <v>491.08999999999997</v>
      </c>
      <c r="H494" s="9">
        <v>2</v>
      </c>
      <c r="I494" s="9">
        <v>982.17999999999995</v>
      </c>
      <c r="J494" s="9">
        <v>0.089999999999999997</v>
      </c>
      <c r="K494" s="9">
        <v>-12.390000000000001</v>
      </c>
      <c r="L494" s="9" t="s">
        <v>63</v>
      </c>
      <c r="M494" s="9" t="str">
        <f t="shared" si="0"/>
        <v>0-10%</v>
      </c>
    </row>
    <row r="495">
      <c r="A495" s="10">
        <v>45052</v>
      </c>
      <c r="B495" s="9" t="s">
        <v>569</v>
      </c>
      <c r="C495" s="9" t="s">
        <v>16</v>
      </c>
      <c r="D495" s="9" t="s">
        <v>11</v>
      </c>
      <c r="E495" s="9" t="s">
        <v>20</v>
      </c>
      <c r="F495" s="9" t="s">
        <v>65</v>
      </c>
      <c r="G495" s="9">
        <v>367.58999999999997</v>
      </c>
      <c r="H495" s="9">
        <v>15</v>
      </c>
      <c r="I495" s="9">
        <v>5513.8500000000004</v>
      </c>
      <c r="J495" s="9">
        <v>0.23999999999999999</v>
      </c>
      <c r="K495" s="9">
        <v>-242.25</v>
      </c>
      <c r="L495" s="9" t="s">
        <v>72</v>
      </c>
      <c r="M495" s="9" t="str">
        <f t="shared" si="0"/>
        <v>0-10%</v>
      </c>
    </row>
    <row r="496">
      <c r="A496" s="10">
        <v>45025</v>
      </c>
      <c r="B496" s="9" t="s">
        <v>570</v>
      </c>
      <c r="C496" s="9" t="s">
        <v>17</v>
      </c>
      <c r="D496" s="9" t="s">
        <v>11</v>
      </c>
      <c r="E496" s="9" t="s">
        <v>20</v>
      </c>
      <c r="F496" s="9" t="s">
        <v>65</v>
      </c>
      <c r="G496" s="9">
        <v>247.63</v>
      </c>
      <c r="H496" s="9">
        <v>4</v>
      </c>
      <c r="I496" s="9">
        <v>990.51999999999998</v>
      </c>
      <c r="J496" s="9">
        <v>0.23000000000000001</v>
      </c>
      <c r="K496" s="9">
        <v>16.780000000000001</v>
      </c>
      <c r="L496" s="9" t="s">
        <v>55</v>
      </c>
      <c r="M496" s="9" t="str">
        <f t="shared" si="0"/>
        <v>20%+</v>
      </c>
    </row>
    <row r="497">
      <c r="A497" s="10">
        <v>45244</v>
      </c>
      <c r="B497" s="9" t="s">
        <v>571</v>
      </c>
      <c r="C497" s="9" t="s">
        <v>14</v>
      </c>
      <c r="D497" s="9" t="s">
        <v>12</v>
      </c>
      <c r="E497" s="9" t="s">
        <v>21</v>
      </c>
      <c r="F497" s="9" t="s">
        <v>78</v>
      </c>
      <c r="G497" s="9">
        <v>207.24000000000001</v>
      </c>
      <c r="H497" s="9">
        <v>2</v>
      </c>
      <c r="I497" s="9">
        <v>414.48000000000002</v>
      </c>
      <c r="J497" s="9">
        <v>0.02</v>
      </c>
      <c r="K497" s="9">
        <v>24.850000000000001</v>
      </c>
      <c r="L497" s="9" t="s">
        <v>55</v>
      </c>
      <c r="M497" s="9" t="str">
        <f t="shared" si="0"/>
        <v>20%+</v>
      </c>
    </row>
    <row r="498">
      <c r="A498" s="10">
        <v>44995</v>
      </c>
      <c r="B498" s="9" t="s">
        <v>572</v>
      </c>
      <c r="C498" s="9" t="s">
        <v>15</v>
      </c>
      <c r="D498" s="9" t="s">
        <v>10</v>
      </c>
      <c r="E498" s="9" t="s">
        <v>21</v>
      </c>
      <c r="F498" s="9" t="s">
        <v>88</v>
      </c>
      <c r="G498" s="9">
        <v>269.85000000000002</v>
      </c>
      <c r="H498" s="9">
        <v>1</v>
      </c>
      <c r="I498" s="9">
        <v>269.85000000000002</v>
      </c>
      <c r="J498" s="9">
        <v>0.29999999999999999</v>
      </c>
      <c r="K498" s="9">
        <v>-45.700000000000003</v>
      </c>
      <c r="L498" s="9" t="s">
        <v>58</v>
      </c>
      <c r="M498" s="9" t="str">
        <f t="shared" si="0"/>
        <v>0-10%</v>
      </c>
    </row>
    <row r="499">
      <c r="A499" s="10">
        <v>45017</v>
      </c>
      <c r="B499" s="9" t="s">
        <v>573</v>
      </c>
      <c r="C499" s="9" t="s">
        <v>17</v>
      </c>
      <c r="D499" s="9" t="s">
        <v>11</v>
      </c>
      <c r="E499" s="9" t="s">
        <v>21</v>
      </c>
      <c r="F499" s="9" t="s">
        <v>96</v>
      </c>
      <c r="G499" s="9">
        <v>282.06999999999999</v>
      </c>
      <c r="H499" s="9">
        <v>3</v>
      </c>
      <c r="I499" s="9">
        <v>846.21000000000004</v>
      </c>
      <c r="J499" s="9">
        <v>0.080000000000000002</v>
      </c>
      <c r="K499" s="9">
        <v>46.93</v>
      </c>
      <c r="L499" s="9" t="s">
        <v>72</v>
      </c>
      <c r="M499" s="9" t="str">
        <f t="shared" si="0"/>
        <v>20%+</v>
      </c>
    </row>
    <row r="500">
      <c r="A500" s="10">
        <v>45021</v>
      </c>
      <c r="B500" s="9" t="s">
        <v>574</v>
      </c>
      <c r="C500" s="9" t="s">
        <v>14</v>
      </c>
      <c r="D500" s="9" t="s">
        <v>12</v>
      </c>
      <c r="E500" s="9" t="s">
        <v>20</v>
      </c>
      <c r="F500" s="9" t="s">
        <v>74</v>
      </c>
      <c r="G500" s="9">
        <v>407.36000000000001</v>
      </c>
      <c r="H500" s="9">
        <v>15</v>
      </c>
      <c r="I500" s="9">
        <v>6110.3999999999996</v>
      </c>
      <c r="J500" s="9">
        <v>0.080000000000000002</v>
      </c>
      <c r="K500" s="9">
        <v>404.39999999999998</v>
      </c>
      <c r="L500" s="9" t="s">
        <v>63</v>
      </c>
      <c r="M500" s="9" t="str">
        <f t="shared" si="0"/>
        <v>0-10%</v>
      </c>
    </row>
    <row r="501">
      <c r="A501" s="10">
        <v>45132</v>
      </c>
      <c r="B501" s="9" t="s">
        <v>575</v>
      </c>
      <c r="C501" s="9" t="s">
        <v>14</v>
      </c>
      <c r="D501" s="9" t="s">
        <v>9</v>
      </c>
      <c r="E501" s="9" t="s">
        <v>19</v>
      </c>
      <c r="F501" s="9" t="s">
        <v>57</v>
      </c>
      <c r="G501" s="9">
        <v>377.44999999999999</v>
      </c>
      <c r="H501" s="9">
        <v>10</v>
      </c>
      <c r="I501" s="9">
        <v>3774.5</v>
      </c>
      <c r="J501" s="9">
        <v>0.040000000000000001</v>
      </c>
      <c r="K501" s="9">
        <v>373.63</v>
      </c>
      <c r="L501" s="9" t="s">
        <v>72</v>
      </c>
      <c r="M501" s="9" t="str">
        <f t="shared" si="0"/>
        <v>0-10%</v>
      </c>
    </row>
    <row r="502">
      <c r="A502" s="10">
        <v>45045</v>
      </c>
      <c r="B502" s="9" t="s">
        <v>576</v>
      </c>
      <c r="C502" s="9" t="s">
        <v>17</v>
      </c>
      <c r="D502" s="9" t="s">
        <v>11</v>
      </c>
      <c r="E502" s="9" t="s">
        <v>19</v>
      </c>
      <c r="F502" s="9" t="s">
        <v>67</v>
      </c>
      <c r="G502" s="9">
        <v>298.29000000000002</v>
      </c>
      <c r="H502" s="9">
        <v>4</v>
      </c>
      <c r="I502" s="9">
        <v>1193.1600000000001</v>
      </c>
      <c r="J502" s="9">
        <v>0.22</v>
      </c>
      <c r="K502" s="9">
        <v>-10.19</v>
      </c>
      <c r="L502" s="9" t="s">
        <v>63</v>
      </c>
      <c r="M502" s="9" t="str">
        <f t="shared" si="0"/>
        <v>0-10%</v>
      </c>
    </row>
    <row r="503">
      <c r="A503" s="10">
        <v>45155</v>
      </c>
      <c r="B503" s="9" t="s">
        <v>577</v>
      </c>
      <c r="C503" s="9" t="s">
        <v>15</v>
      </c>
      <c r="D503" s="9" t="s">
        <v>10</v>
      </c>
      <c r="E503" s="9" t="s">
        <v>19</v>
      </c>
      <c r="F503" s="9" t="s">
        <v>60</v>
      </c>
      <c r="G503" s="9">
        <v>63.350000000000001</v>
      </c>
      <c r="H503" s="9">
        <v>13</v>
      </c>
      <c r="I503" s="9">
        <v>823.54999999999995</v>
      </c>
      <c r="J503" s="9">
        <v>0.25</v>
      </c>
      <c r="K503" s="9">
        <v>-99.799999999999997</v>
      </c>
      <c r="L503" s="9" t="s">
        <v>58</v>
      </c>
      <c r="M503" s="9" t="str">
        <f t="shared" si="0"/>
        <v>20%+</v>
      </c>
    </row>
    <row r="504">
      <c r="A504" s="10">
        <v>45288</v>
      </c>
      <c r="B504" s="9" t="s">
        <v>578</v>
      </c>
      <c r="C504" s="9" t="s">
        <v>15</v>
      </c>
      <c r="D504" s="9" t="s">
        <v>10</v>
      </c>
      <c r="E504" s="9" t="s">
        <v>21</v>
      </c>
      <c r="F504" s="9" t="s">
        <v>88</v>
      </c>
      <c r="G504" s="9">
        <v>229.91</v>
      </c>
      <c r="H504" s="9">
        <v>1</v>
      </c>
      <c r="I504" s="9">
        <v>229.91</v>
      </c>
      <c r="J504" s="9">
        <v>0.28000000000000003</v>
      </c>
      <c r="K504" s="9">
        <v>-36.460000000000001</v>
      </c>
      <c r="L504" s="9" t="s">
        <v>72</v>
      </c>
      <c r="M504" s="9" t="str">
        <f t="shared" si="0"/>
        <v>20%+</v>
      </c>
    </row>
    <row r="505">
      <c r="A505" s="10">
        <v>45176</v>
      </c>
      <c r="B505" s="9" t="s">
        <v>579</v>
      </c>
      <c r="C505" s="9" t="s">
        <v>14</v>
      </c>
      <c r="D505" s="9" t="s">
        <v>9</v>
      </c>
      <c r="E505" s="9" t="s">
        <v>22</v>
      </c>
      <c r="F505" s="9" t="s">
        <v>71</v>
      </c>
      <c r="G505" s="9">
        <v>50.799999999999997</v>
      </c>
      <c r="H505" s="9">
        <v>9</v>
      </c>
      <c r="I505" s="9">
        <v>457.19999999999999</v>
      </c>
      <c r="J505" s="9">
        <v>0.27000000000000002</v>
      </c>
      <c r="K505" s="9">
        <v>-44.5</v>
      </c>
      <c r="L505" s="9" t="s">
        <v>63</v>
      </c>
      <c r="M505" s="9" t="str">
        <f t="shared" si="0"/>
        <v>20%+</v>
      </c>
    </row>
    <row r="506">
      <c r="A506" s="10">
        <v>44932</v>
      </c>
      <c r="B506" s="9" t="s">
        <v>580</v>
      </c>
      <c r="C506" s="9" t="s">
        <v>17</v>
      </c>
      <c r="D506" s="9" t="s">
        <v>11</v>
      </c>
      <c r="E506" s="9" t="s">
        <v>20</v>
      </c>
      <c r="F506" s="9" t="s">
        <v>69</v>
      </c>
      <c r="G506" s="9">
        <v>381.74000000000001</v>
      </c>
      <c r="H506" s="9">
        <v>8</v>
      </c>
      <c r="I506" s="9">
        <v>3053.9200000000001</v>
      </c>
      <c r="J506" s="9">
        <v>0.01</v>
      </c>
      <c r="K506" s="9">
        <v>674.38999999999999</v>
      </c>
      <c r="L506" s="9" t="s">
        <v>55</v>
      </c>
      <c r="M506" s="9" t="str">
        <f t="shared" si="0"/>
        <v>20%+</v>
      </c>
    </row>
    <row r="507">
      <c r="A507" s="10">
        <v>44970</v>
      </c>
      <c r="B507" s="9" t="s">
        <v>581</v>
      </c>
      <c r="C507" s="9" t="s">
        <v>17</v>
      </c>
      <c r="D507" s="9" t="s">
        <v>8</v>
      </c>
      <c r="E507" s="9" t="s">
        <v>19</v>
      </c>
      <c r="F507" s="9" t="s">
        <v>57</v>
      </c>
      <c r="G507" s="9">
        <v>50.490000000000002</v>
      </c>
      <c r="H507" s="9">
        <v>9</v>
      </c>
      <c r="I507" s="9">
        <v>454.41000000000003</v>
      </c>
      <c r="J507" s="9">
        <v>0.12</v>
      </c>
      <c r="K507" s="9">
        <v>21.329999999999998</v>
      </c>
      <c r="L507" s="9" t="s">
        <v>72</v>
      </c>
      <c r="M507" s="9" t="str">
        <f t="shared" si="0"/>
        <v>0-10%</v>
      </c>
    </row>
    <row r="508">
      <c r="A508" s="10">
        <v>45121</v>
      </c>
      <c r="B508" s="9" t="s">
        <v>582</v>
      </c>
      <c r="C508" s="9" t="s">
        <v>17</v>
      </c>
      <c r="D508" s="9" t="s">
        <v>11</v>
      </c>
      <c r="E508" s="9" t="s">
        <v>19</v>
      </c>
      <c r="F508" s="9" t="s">
        <v>60</v>
      </c>
      <c r="G508" s="9">
        <v>33.450000000000003</v>
      </c>
      <c r="H508" s="9">
        <v>14</v>
      </c>
      <c r="I508" s="9">
        <v>468.30000000000001</v>
      </c>
      <c r="J508" s="9">
        <v>0.14999999999999999</v>
      </c>
      <c r="K508" s="9">
        <v>-24.510000000000002</v>
      </c>
      <c r="L508" s="9" t="s">
        <v>55</v>
      </c>
      <c r="M508" s="9" t="str">
        <f t="shared" si="0"/>
        <v>10-20%</v>
      </c>
    </row>
    <row r="509">
      <c r="A509" s="10">
        <v>45105</v>
      </c>
      <c r="B509" s="9" t="s">
        <v>583</v>
      </c>
      <c r="C509" s="9" t="s">
        <v>16</v>
      </c>
      <c r="D509" s="9" t="s">
        <v>12</v>
      </c>
      <c r="E509" s="9" t="s">
        <v>19</v>
      </c>
      <c r="F509" s="9" t="s">
        <v>98</v>
      </c>
      <c r="G509" s="9">
        <v>347.85000000000002</v>
      </c>
      <c r="H509" s="9">
        <v>14</v>
      </c>
      <c r="I509" s="9">
        <v>4869.8999999999996</v>
      </c>
      <c r="J509" s="9">
        <v>0</v>
      </c>
      <c r="K509" s="9">
        <v>328.94999999999999</v>
      </c>
      <c r="L509" s="9" t="s">
        <v>63</v>
      </c>
      <c r="M509" s="9" t="str">
        <f t="shared" si="0"/>
        <v>10-20%</v>
      </c>
    </row>
    <row r="510">
      <c r="A510" s="10">
        <v>45137</v>
      </c>
      <c r="B510" s="9" t="s">
        <v>584</v>
      </c>
      <c r="C510" s="9" t="s">
        <v>15</v>
      </c>
      <c r="D510" s="9" t="s">
        <v>10</v>
      </c>
      <c r="E510" s="9" t="s">
        <v>20</v>
      </c>
      <c r="F510" s="9" t="s">
        <v>69</v>
      </c>
      <c r="G510" s="9">
        <v>191.37</v>
      </c>
      <c r="H510" s="9">
        <v>9</v>
      </c>
      <c r="I510" s="9">
        <v>1722.3299999999999</v>
      </c>
      <c r="J510" s="9">
        <v>0.29999999999999999</v>
      </c>
      <c r="K510" s="9">
        <v>-246.12</v>
      </c>
      <c r="L510" s="9" t="s">
        <v>58</v>
      </c>
      <c r="M510" s="9" t="str">
        <f t="shared" si="0"/>
        <v>0-10%</v>
      </c>
    </row>
    <row r="511">
      <c r="A511" s="10">
        <v>45283</v>
      </c>
      <c r="B511" s="9" t="s">
        <v>585</v>
      </c>
      <c r="C511" s="9" t="s">
        <v>15</v>
      </c>
      <c r="D511" s="9" t="s">
        <v>9</v>
      </c>
      <c r="E511" s="9" t="s">
        <v>19</v>
      </c>
      <c r="F511" s="9" t="s">
        <v>98</v>
      </c>
      <c r="G511" s="9">
        <v>313.05000000000001</v>
      </c>
      <c r="H511" s="9">
        <v>14</v>
      </c>
      <c r="I511" s="9">
        <v>4382.6999999999998</v>
      </c>
      <c r="J511" s="9">
        <v>0.050000000000000003</v>
      </c>
      <c r="K511" s="9">
        <v>145.88999999999999</v>
      </c>
      <c r="L511" s="9" t="s">
        <v>63</v>
      </c>
      <c r="M511" s="9" t="str">
        <f t="shared" si="0"/>
        <v>20%+</v>
      </c>
    </row>
    <row r="512">
      <c r="A512" s="10">
        <v>45191</v>
      </c>
      <c r="B512" s="9" t="s">
        <v>586</v>
      </c>
      <c r="C512" s="9" t="s">
        <v>17</v>
      </c>
      <c r="D512" s="9" t="s">
        <v>9</v>
      </c>
      <c r="E512" s="9" t="s">
        <v>21</v>
      </c>
      <c r="F512" s="9" t="s">
        <v>76</v>
      </c>
      <c r="G512" s="9">
        <v>430.06999999999999</v>
      </c>
      <c r="H512" s="9">
        <v>15</v>
      </c>
      <c r="I512" s="9">
        <v>6451.0500000000002</v>
      </c>
      <c r="J512" s="9">
        <v>0.17000000000000001</v>
      </c>
      <c r="K512" s="9">
        <v>-79.849999999999994</v>
      </c>
      <c r="L512" s="9" t="s">
        <v>55</v>
      </c>
      <c r="M512" s="9" t="str">
        <f t="shared" si="0"/>
        <v>0-10%</v>
      </c>
    </row>
    <row r="513">
      <c r="A513" s="10">
        <v>45284</v>
      </c>
      <c r="B513" s="9" t="s">
        <v>587</v>
      </c>
      <c r="C513" s="9" t="s">
        <v>17</v>
      </c>
      <c r="D513" s="9" t="s">
        <v>10</v>
      </c>
      <c r="E513" s="9" t="s">
        <v>22</v>
      </c>
      <c r="F513" s="9" t="s">
        <v>71</v>
      </c>
      <c r="G513" s="9">
        <v>308.77999999999997</v>
      </c>
      <c r="H513" s="9">
        <v>13</v>
      </c>
      <c r="I513" s="9">
        <v>4014.1399999999999</v>
      </c>
      <c r="J513" s="9">
        <v>0.059999999999999998</v>
      </c>
      <c r="K513" s="9">
        <v>626.72000000000003</v>
      </c>
      <c r="L513" s="9" t="s">
        <v>72</v>
      </c>
      <c r="M513" s="9" t="str">
        <f t="shared" si="0"/>
        <v>10-20%</v>
      </c>
    </row>
    <row r="514">
      <c r="A514" s="10">
        <v>45222</v>
      </c>
      <c r="B514" s="9" t="s">
        <v>588</v>
      </c>
      <c r="C514" s="9" t="s">
        <v>16</v>
      </c>
      <c r="D514" s="9" t="s">
        <v>8</v>
      </c>
      <c r="E514" s="9" t="s">
        <v>21</v>
      </c>
      <c r="F514" s="9" t="s">
        <v>76</v>
      </c>
      <c r="G514" s="9">
        <v>109.01000000000001</v>
      </c>
      <c r="H514" s="9">
        <v>10</v>
      </c>
      <c r="I514" s="9">
        <v>1090.0999999999999</v>
      </c>
      <c r="J514" s="9">
        <v>0.28999999999999998</v>
      </c>
      <c r="K514" s="9">
        <v>-232.88999999999999</v>
      </c>
      <c r="L514" s="9" t="s">
        <v>58</v>
      </c>
      <c r="M514" s="9" t="str">
        <f t="shared" si="0"/>
        <v>0-10%</v>
      </c>
    </row>
    <row r="515">
      <c r="A515" s="10">
        <v>44941</v>
      </c>
      <c r="B515" s="9" t="s">
        <v>589</v>
      </c>
      <c r="C515" s="9" t="s">
        <v>14</v>
      </c>
      <c r="D515" s="9" t="s">
        <v>11</v>
      </c>
      <c r="E515" s="9" t="s">
        <v>22</v>
      </c>
      <c r="F515" s="9" t="s">
        <v>110</v>
      </c>
      <c r="G515" s="9">
        <v>220.11000000000001</v>
      </c>
      <c r="H515" s="9">
        <v>11</v>
      </c>
      <c r="I515" s="9">
        <v>2421.21</v>
      </c>
      <c r="J515" s="9">
        <v>0.20999999999999999</v>
      </c>
      <c r="K515" s="9">
        <v>-278.63</v>
      </c>
      <c r="L515" s="9" t="s">
        <v>55</v>
      </c>
      <c r="M515" s="9" t="str">
        <f t="shared" si="0"/>
        <v>20%+</v>
      </c>
    </row>
    <row r="516">
      <c r="A516" s="10">
        <v>45063</v>
      </c>
      <c r="B516" s="9" t="s">
        <v>590</v>
      </c>
      <c r="C516" s="9" t="s">
        <v>14</v>
      </c>
      <c r="D516" s="9" t="s">
        <v>9</v>
      </c>
      <c r="E516" s="9" t="s">
        <v>19</v>
      </c>
      <c r="F516" s="9" t="s">
        <v>98</v>
      </c>
      <c r="G516" s="9">
        <v>210.16</v>
      </c>
      <c r="H516" s="9">
        <v>12</v>
      </c>
      <c r="I516" s="9">
        <v>2521.9200000000001</v>
      </c>
      <c r="J516" s="9">
        <v>0.20000000000000001</v>
      </c>
      <c r="K516" s="9">
        <v>-242.72999999999999</v>
      </c>
      <c r="L516" s="9" t="s">
        <v>72</v>
      </c>
      <c r="M516" s="9" t="str">
        <f t="shared" si="0"/>
        <v>20%+</v>
      </c>
    </row>
    <row r="517">
      <c r="A517" s="10">
        <v>45024</v>
      </c>
      <c r="B517" s="9" t="s">
        <v>591</v>
      </c>
      <c r="C517" s="9" t="s">
        <v>16</v>
      </c>
      <c r="D517" s="9" t="s">
        <v>10</v>
      </c>
      <c r="E517" s="9" t="s">
        <v>21</v>
      </c>
      <c r="F517" s="9" t="s">
        <v>88</v>
      </c>
      <c r="G517" s="9">
        <v>27.920000000000002</v>
      </c>
      <c r="H517" s="9">
        <v>6</v>
      </c>
      <c r="I517" s="9">
        <v>167.52000000000001</v>
      </c>
      <c r="J517" s="9">
        <v>0</v>
      </c>
      <c r="K517" s="9">
        <v>36.469999999999999</v>
      </c>
      <c r="L517" s="9" t="s">
        <v>72</v>
      </c>
      <c r="M517" s="9" t="str">
        <f t="shared" si="0"/>
        <v>10-20%</v>
      </c>
    </row>
    <row r="518">
      <c r="A518" s="10">
        <v>45025</v>
      </c>
      <c r="B518" s="9" t="s">
        <v>592</v>
      </c>
      <c r="C518" s="9" t="s">
        <v>15</v>
      </c>
      <c r="D518" s="9" t="s">
        <v>10</v>
      </c>
      <c r="E518" s="9" t="s">
        <v>19</v>
      </c>
      <c r="F518" s="9" t="s">
        <v>57</v>
      </c>
      <c r="G518" s="9">
        <v>137.13</v>
      </c>
      <c r="H518" s="9">
        <v>7</v>
      </c>
      <c r="I518" s="9">
        <v>959.90999999999997</v>
      </c>
      <c r="J518" s="9">
        <v>0.16</v>
      </c>
      <c r="K518" s="9">
        <v>-51.700000000000003</v>
      </c>
      <c r="L518" s="9" t="s">
        <v>55</v>
      </c>
      <c r="M518" s="9" t="str">
        <f t="shared" si="0"/>
        <v>0-10%</v>
      </c>
    </row>
    <row r="519">
      <c r="A519" s="10">
        <v>45263</v>
      </c>
      <c r="B519" s="9" t="s">
        <v>593</v>
      </c>
      <c r="C519" s="9" t="s">
        <v>16</v>
      </c>
      <c r="D519" s="9" t="s">
        <v>12</v>
      </c>
      <c r="E519" s="9" t="s">
        <v>22</v>
      </c>
      <c r="F519" s="9" t="s">
        <v>125</v>
      </c>
      <c r="G519" s="9">
        <v>344.12</v>
      </c>
      <c r="H519" s="9">
        <v>5</v>
      </c>
      <c r="I519" s="9">
        <v>1720.5999999999999</v>
      </c>
      <c r="J519" s="9">
        <v>0.01</v>
      </c>
      <c r="K519" s="9">
        <v>396.02999999999997</v>
      </c>
      <c r="L519" s="9" t="s">
        <v>63</v>
      </c>
      <c r="M519" s="9" t="str">
        <f t="shared" si="0"/>
        <v>10-20%</v>
      </c>
    </row>
    <row r="520">
      <c r="A520" s="10">
        <v>45010</v>
      </c>
      <c r="B520" s="9" t="s">
        <v>594</v>
      </c>
      <c r="C520" s="9" t="s">
        <v>16</v>
      </c>
      <c r="D520" s="9" t="s">
        <v>11</v>
      </c>
      <c r="E520" s="9" t="s">
        <v>20</v>
      </c>
      <c r="F520" s="9" t="s">
        <v>80</v>
      </c>
      <c r="G520" s="9">
        <v>359.80000000000001</v>
      </c>
      <c r="H520" s="9">
        <v>2</v>
      </c>
      <c r="I520" s="9">
        <v>719.60000000000002</v>
      </c>
      <c r="J520" s="9">
        <v>0.23999999999999999</v>
      </c>
      <c r="K520" s="9">
        <v>-64.359999999999999</v>
      </c>
      <c r="L520" s="9" t="s">
        <v>72</v>
      </c>
      <c r="M520" s="9" t="str">
        <f t="shared" si="0"/>
        <v>0-10%</v>
      </c>
    </row>
    <row r="521">
      <c r="A521" s="10">
        <v>45256</v>
      </c>
      <c r="B521" s="9" t="s">
        <v>595</v>
      </c>
      <c r="C521" s="9" t="s">
        <v>15</v>
      </c>
      <c r="D521" s="9" t="s">
        <v>11</v>
      </c>
      <c r="E521" s="9" t="s">
        <v>20</v>
      </c>
      <c r="F521" s="9" t="s">
        <v>101</v>
      </c>
      <c r="G521" s="9">
        <v>243.27000000000001</v>
      </c>
      <c r="H521" s="9">
        <v>10</v>
      </c>
      <c r="I521" s="9">
        <v>2432.6999999999998</v>
      </c>
      <c r="J521" s="9">
        <v>0.02</v>
      </c>
      <c r="K521" s="9">
        <v>333.95999999999998</v>
      </c>
      <c r="L521" s="9" t="s">
        <v>55</v>
      </c>
      <c r="M521" s="9" t="str">
        <f t="shared" si="0"/>
        <v>20%+</v>
      </c>
    </row>
    <row r="522">
      <c r="A522" s="10">
        <v>44957</v>
      </c>
      <c r="B522" s="9" t="s">
        <v>596</v>
      </c>
      <c r="C522" s="9" t="s">
        <v>14</v>
      </c>
      <c r="D522" s="9" t="s">
        <v>10</v>
      </c>
      <c r="E522" s="9" t="s">
        <v>20</v>
      </c>
      <c r="F522" s="9" t="s">
        <v>101</v>
      </c>
      <c r="G522" s="9">
        <v>201.22</v>
      </c>
      <c r="H522" s="9">
        <v>12</v>
      </c>
      <c r="I522" s="9">
        <v>2414.6399999999999</v>
      </c>
      <c r="J522" s="9">
        <v>0.01</v>
      </c>
      <c r="K522" s="9">
        <v>378.69</v>
      </c>
      <c r="L522" s="9" t="s">
        <v>72</v>
      </c>
      <c r="M522" s="9" t="str">
        <f t="shared" si="0"/>
        <v>0-10%</v>
      </c>
    </row>
    <row r="523">
      <c r="A523" s="10">
        <v>45070</v>
      </c>
      <c r="B523" s="9" t="s">
        <v>597</v>
      </c>
      <c r="C523" s="9" t="s">
        <v>15</v>
      </c>
      <c r="D523" s="9" t="s">
        <v>11</v>
      </c>
      <c r="E523" s="9" t="s">
        <v>20</v>
      </c>
      <c r="F523" s="9" t="s">
        <v>80</v>
      </c>
      <c r="G523" s="9">
        <v>430.38999999999999</v>
      </c>
      <c r="H523" s="9">
        <v>5</v>
      </c>
      <c r="I523" s="9">
        <v>2151.9499999999998</v>
      </c>
      <c r="J523" s="9">
        <v>0.11</v>
      </c>
      <c r="K523" s="9">
        <v>160.52000000000001</v>
      </c>
      <c r="L523" s="9" t="s">
        <v>63</v>
      </c>
      <c r="M523" s="9" t="str">
        <f t="shared" si="0"/>
        <v>0-10%</v>
      </c>
    </row>
    <row r="524">
      <c r="A524" s="10">
        <v>45149</v>
      </c>
      <c r="B524" s="9" t="s">
        <v>598</v>
      </c>
      <c r="C524" s="9" t="s">
        <v>17</v>
      </c>
      <c r="D524" s="9" t="s">
        <v>10</v>
      </c>
      <c r="E524" s="9" t="s">
        <v>22</v>
      </c>
      <c r="F524" s="9" t="s">
        <v>125</v>
      </c>
      <c r="G524" s="9">
        <v>407.61000000000001</v>
      </c>
      <c r="H524" s="9">
        <v>2</v>
      </c>
      <c r="I524" s="9">
        <v>815.22000000000003</v>
      </c>
      <c r="J524" s="9">
        <v>0.23000000000000001</v>
      </c>
      <c r="K524" s="9">
        <v>-8.2300000000000004</v>
      </c>
      <c r="L524" s="9" t="s">
        <v>63</v>
      </c>
      <c r="M524" s="9" t="str">
        <f t="shared" si="0"/>
        <v>10-20%</v>
      </c>
    </row>
    <row r="525">
      <c r="A525" s="10">
        <v>45196</v>
      </c>
      <c r="B525" s="9" t="s">
        <v>599</v>
      </c>
      <c r="C525" s="9" t="s">
        <v>17</v>
      </c>
      <c r="D525" s="9" t="s">
        <v>8</v>
      </c>
      <c r="E525" s="9" t="s">
        <v>20</v>
      </c>
      <c r="F525" s="9" t="s">
        <v>74</v>
      </c>
      <c r="G525" s="9">
        <v>304.87</v>
      </c>
      <c r="H525" s="9">
        <v>13</v>
      </c>
      <c r="I525" s="9">
        <v>3963.3099999999999</v>
      </c>
      <c r="J525" s="9">
        <v>0.20999999999999999</v>
      </c>
      <c r="K525" s="9">
        <v>-411.24000000000001</v>
      </c>
      <c r="L525" s="9" t="s">
        <v>55</v>
      </c>
      <c r="M525" s="9" t="str">
        <f t="shared" si="0"/>
        <v>20%+</v>
      </c>
    </row>
    <row r="526">
      <c r="A526" s="10">
        <v>45075</v>
      </c>
      <c r="B526" s="9" t="s">
        <v>600</v>
      </c>
      <c r="C526" s="9" t="s">
        <v>14</v>
      </c>
      <c r="D526" s="9" t="s">
        <v>10</v>
      </c>
      <c r="E526" s="9" t="s">
        <v>20</v>
      </c>
      <c r="F526" s="9" t="s">
        <v>74</v>
      </c>
      <c r="G526" s="9">
        <v>148.88</v>
      </c>
      <c r="H526" s="9">
        <v>4</v>
      </c>
      <c r="I526" s="9">
        <v>595.51999999999998</v>
      </c>
      <c r="J526" s="9">
        <v>0.26000000000000001</v>
      </c>
      <c r="K526" s="9">
        <v>-102.52</v>
      </c>
      <c r="L526" s="9" t="s">
        <v>58</v>
      </c>
      <c r="M526" s="9" t="str">
        <f t="shared" si="0"/>
        <v>20%+</v>
      </c>
    </row>
    <row r="527">
      <c r="A527" s="10">
        <v>45204</v>
      </c>
      <c r="B527" s="9" t="s">
        <v>601</v>
      </c>
      <c r="C527" s="9" t="s">
        <v>15</v>
      </c>
      <c r="D527" s="9" t="s">
        <v>9</v>
      </c>
      <c r="E527" s="9" t="s">
        <v>21</v>
      </c>
      <c r="F527" s="9" t="s">
        <v>96</v>
      </c>
      <c r="G527" s="9">
        <v>380.41000000000003</v>
      </c>
      <c r="H527" s="9">
        <v>1</v>
      </c>
      <c r="I527" s="9">
        <v>380.41000000000003</v>
      </c>
      <c r="J527" s="9">
        <v>0.25</v>
      </c>
      <c r="K527" s="9">
        <v>-53.07</v>
      </c>
      <c r="L527" s="9" t="s">
        <v>58</v>
      </c>
      <c r="M527" s="9" t="str">
        <f t="shared" si="0"/>
        <v>20%+</v>
      </c>
    </row>
    <row r="528">
      <c r="A528" s="10">
        <v>45050</v>
      </c>
      <c r="B528" s="9" t="s">
        <v>602</v>
      </c>
      <c r="C528" s="9" t="s">
        <v>17</v>
      </c>
      <c r="D528" s="9" t="s">
        <v>9</v>
      </c>
      <c r="E528" s="9" t="s">
        <v>21</v>
      </c>
      <c r="F528" s="9" t="s">
        <v>76</v>
      </c>
      <c r="G528" s="9">
        <v>474.62</v>
      </c>
      <c r="H528" s="9">
        <v>3</v>
      </c>
      <c r="I528" s="9">
        <v>1423.8599999999999</v>
      </c>
      <c r="J528" s="9">
        <v>0.13</v>
      </c>
      <c r="K528" s="9">
        <v>-52.509999999999998</v>
      </c>
      <c r="L528" s="9" t="s">
        <v>58</v>
      </c>
      <c r="M528" s="9" t="str">
        <f t="shared" si="0"/>
        <v>20%+</v>
      </c>
    </row>
    <row r="529">
      <c r="A529" s="10">
        <v>45279</v>
      </c>
      <c r="B529" s="9" t="s">
        <v>603</v>
      </c>
      <c r="C529" s="9" t="s">
        <v>14</v>
      </c>
      <c r="D529" s="9" t="s">
        <v>11</v>
      </c>
      <c r="E529" s="9" t="s">
        <v>22</v>
      </c>
      <c r="F529" s="9" t="s">
        <v>54</v>
      </c>
      <c r="G529" s="9">
        <v>156.34</v>
      </c>
      <c r="H529" s="9">
        <v>1</v>
      </c>
      <c r="I529" s="9">
        <v>156.34</v>
      </c>
      <c r="J529" s="9">
        <v>0</v>
      </c>
      <c r="K529" s="9">
        <v>21.890000000000001</v>
      </c>
      <c r="L529" s="9" t="s">
        <v>63</v>
      </c>
      <c r="M529" s="9" t="str">
        <f t="shared" si="0"/>
        <v>10-20%</v>
      </c>
    </row>
    <row r="530">
      <c r="A530" s="10">
        <v>45267</v>
      </c>
      <c r="B530" s="9" t="s">
        <v>604</v>
      </c>
      <c r="C530" s="9" t="s">
        <v>17</v>
      </c>
      <c r="D530" s="9" t="s">
        <v>10</v>
      </c>
      <c r="E530" s="9" t="s">
        <v>20</v>
      </c>
      <c r="F530" s="9" t="s">
        <v>65</v>
      </c>
      <c r="G530" s="9">
        <v>446.62</v>
      </c>
      <c r="H530" s="9">
        <v>15</v>
      </c>
      <c r="I530" s="9">
        <v>6699.3000000000002</v>
      </c>
      <c r="J530" s="9">
        <v>0.050000000000000003</v>
      </c>
      <c r="K530" s="9">
        <v>1272.0999999999999</v>
      </c>
      <c r="L530" s="9" t="s">
        <v>55</v>
      </c>
      <c r="M530" s="9" t="str">
        <f t="shared" si="0"/>
        <v>0-10%</v>
      </c>
    </row>
    <row r="531">
      <c r="A531" s="10">
        <v>45246</v>
      </c>
      <c r="B531" s="9" t="s">
        <v>605</v>
      </c>
      <c r="C531" s="9" t="s">
        <v>16</v>
      </c>
      <c r="D531" s="9" t="s">
        <v>11</v>
      </c>
      <c r="E531" s="9" t="s">
        <v>19</v>
      </c>
      <c r="F531" s="9" t="s">
        <v>60</v>
      </c>
      <c r="G531" s="9">
        <v>462.30000000000001</v>
      </c>
      <c r="H531" s="9">
        <v>13</v>
      </c>
      <c r="I531" s="9">
        <v>6009.8999999999996</v>
      </c>
      <c r="J531" s="9">
        <v>0.27000000000000002</v>
      </c>
      <c r="K531" s="9">
        <v>-780.80999999999995</v>
      </c>
      <c r="L531" s="9" t="s">
        <v>55</v>
      </c>
      <c r="M531" s="9" t="str">
        <f t="shared" si="0"/>
        <v>0-10%</v>
      </c>
    </row>
    <row r="532">
      <c r="A532" s="10">
        <v>45129</v>
      </c>
      <c r="B532" s="9" t="s">
        <v>606</v>
      </c>
      <c r="C532" s="9" t="s">
        <v>17</v>
      </c>
      <c r="D532" s="9" t="s">
        <v>8</v>
      </c>
      <c r="E532" s="9" t="s">
        <v>21</v>
      </c>
      <c r="F532" s="9" t="s">
        <v>76</v>
      </c>
      <c r="G532" s="9">
        <v>56.590000000000003</v>
      </c>
      <c r="H532" s="9">
        <v>6</v>
      </c>
      <c r="I532" s="9">
        <v>339.54000000000002</v>
      </c>
      <c r="J532" s="9">
        <v>0.23999999999999999</v>
      </c>
      <c r="K532" s="9">
        <v>-2.9300000000000002</v>
      </c>
      <c r="L532" s="9" t="s">
        <v>72</v>
      </c>
      <c r="M532" s="9" t="str">
        <f t="shared" si="0"/>
        <v>20%+</v>
      </c>
    </row>
    <row r="533">
      <c r="A533" s="10">
        <v>45121</v>
      </c>
      <c r="B533" s="9" t="s">
        <v>607</v>
      </c>
      <c r="C533" s="9" t="s">
        <v>14</v>
      </c>
      <c r="D533" s="9" t="s">
        <v>12</v>
      </c>
      <c r="E533" s="9" t="s">
        <v>21</v>
      </c>
      <c r="F533" s="9" t="s">
        <v>76</v>
      </c>
      <c r="G533" s="9">
        <v>305.56</v>
      </c>
      <c r="H533" s="9">
        <v>9</v>
      </c>
      <c r="I533" s="9">
        <v>2750.04</v>
      </c>
      <c r="J533" s="9">
        <v>0.070000000000000007</v>
      </c>
      <c r="K533" s="9">
        <v>193.30000000000001</v>
      </c>
      <c r="L533" s="9" t="s">
        <v>58</v>
      </c>
      <c r="M533" s="9" t="str">
        <f t="shared" si="0"/>
        <v>20%+</v>
      </c>
    </row>
    <row r="534">
      <c r="A534" s="10">
        <v>45120</v>
      </c>
      <c r="B534" s="9" t="s">
        <v>608</v>
      </c>
      <c r="C534" s="9" t="s">
        <v>16</v>
      </c>
      <c r="D534" s="9" t="s">
        <v>11</v>
      </c>
      <c r="E534" s="9" t="s">
        <v>20</v>
      </c>
      <c r="F534" s="9" t="s">
        <v>65</v>
      </c>
      <c r="G534" s="9">
        <v>176.28</v>
      </c>
      <c r="H534" s="9">
        <v>13</v>
      </c>
      <c r="I534" s="9">
        <v>2291.6399999999999</v>
      </c>
      <c r="J534" s="9">
        <v>0.070000000000000007</v>
      </c>
      <c r="K534" s="9">
        <v>363.77999999999997</v>
      </c>
      <c r="L534" s="9" t="s">
        <v>72</v>
      </c>
      <c r="M534" s="9" t="str">
        <f t="shared" si="0"/>
        <v>0-10%</v>
      </c>
    </row>
    <row r="535">
      <c r="A535" s="10">
        <v>45259</v>
      </c>
      <c r="B535" s="9" t="s">
        <v>609</v>
      </c>
      <c r="C535" s="9" t="s">
        <v>17</v>
      </c>
      <c r="D535" s="9" t="s">
        <v>8</v>
      </c>
      <c r="E535" s="9" t="s">
        <v>22</v>
      </c>
      <c r="F535" s="9" t="s">
        <v>84</v>
      </c>
      <c r="G535" s="9">
        <v>360.81</v>
      </c>
      <c r="H535" s="9">
        <v>12</v>
      </c>
      <c r="I535" s="9">
        <v>4329.7200000000003</v>
      </c>
      <c r="J535" s="9">
        <v>0.050000000000000003</v>
      </c>
      <c r="K535" s="9">
        <v>687.03999999999996</v>
      </c>
      <c r="L535" s="9" t="s">
        <v>63</v>
      </c>
      <c r="M535" s="9" t="str">
        <f t="shared" si="0"/>
        <v>0-10%</v>
      </c>
    </row>
    <row r="536">
      <c r="A536" s="10">
        <v>44995</v>
      </c>
      <c r="B536" s="9" t="s">
        <v>610</v>
      </c>
      <c r="C536" s="9" t="s">
        <v>14</v>
      </c>
      <c r="D536" s="9" t="s">
        <v>8</v>
      </c>
      <c r="E536" s="9" t="s">
        <v>19</v>
      </c>
      <c r="F536" s="9" t="s">
        <v>60</v>
      </c>
      <c r="G536" s="9">
        <v>159.81</v>
      </c>
      <c r="H536" s="9">
        <v>5</v>
      </c>
      <c r="I536" s="9">
        <v>799.04999999999995</v>
      </c>
      <c r="J536" s="9">
        <v>0.20000000000000001</v>
      </c>
      <c r="K536" s="9">
        <v>-83.379999999999995</v>
      </c>
      <c r="L536" s="9" t="s">
        <v>63</v>
      </c>
      <c r="M536" s="9" t="str">
        <f t="shared" si="0"/>
        <v>0-10%</v>
      </c>
    </row>
    <row r="537">
      <c r="A537" s="10">
        <v>45118</v>
      </c>
      <c r="B537" s="9" t="s">
        <v>611</v>
      </c>
      <c r="C537" s="9" t="s">
        <v>15</v>
      </c>
      <c r="D537" s="9" t="s">
        <v>10</v>
      </c>
      <c r="E537" s="9" t="s">
        <v>19</v>
      </c>
      <c r="F537" s="9" t="s">
        <v>60</v>
      </c>
      <c r="G537" s="9">
        <v>194.91</v>
      </c>
      <c r="H537" s="9">
        <v>11</v>
      </c>
      <c r="I537" s="9">
        <v>2144.0100000000002</v>
      </c>
      <c r="J537" s="9">
        <v>0.19</v>
      </c>
      <c r="K537" s="9">
        <v>80.260000000000005</v>
      </c>
      <c r="L537" s="9" t="s">
        <v>72</v>
      </c>
      <c r="M537" s="9" t="str">
        <f t="shared" si="0"/>
        <v>10-20%</v>
      </c>
    </row>
    <row r="538">
      <c r="A538" s="10">
        <v>45011</v>
      </c>
      <c r="B538" s="9" t="s">
        <v>612</v>
      </c>
      <c r="C538" s="9" t="s">
        <v>16</v>
      </c>
      <c r="D538" s="9" t="s">
        <v>9</v>
      </c>
      <c r="E538" s="9" t="s">
        <v>20</v>
      </c>
      <c r="F538" s="9" t="s">
        <v>65</v>
      </c>
      <c r="G538" s="9">
        <v>323.07999999999998</v>
      </c>
      <c r="H538" s="9">
        <v>11</v>
      </c>
      <c r="I538" s="9">
        <v>3553.8800000000001</v>
      </c>
      <c r="J538" s="9">
        <v>0.02</v>
      </c>
      <c r="K538" s="9">
        <v>486.82999999999998</v>
      </c>
      <c r="L538" s="9" t="s">
        <v>58</v>
      </c>
      <c r="M538" s="9" t="str">
        <f t="shared" si="0"/>
        <v>10-20%</v>
      </c>
    </row>
    <row r="539">
      <c r="A539" s="10">
        <v>45097</v>
      </c>
      <c r="B539" s="9" t="s">
        <v>613</v>
      </c>
      <c r="C539" s="9" t="s">
        <v>15</v>
      </c>
      <c r="D539" s="9" t="s">
        <v>11</v>
      </c>
      <c r="E539" s="9" t="s">
        <v>20</v>
      </c>
      <c r="F539" s="9" t="s">
        <v>74</v>
      </c>
      <c r="G539" s="9">
        <v>275.45999999999998</v>
      </c>
      <c r="H539" s="9">
        <v>7</v>
      </c>
      <c r="I539" s="9">
        <v>1928.22</v>
      </c>
      <c r="J539" s="9">
        <v>0.17999999999999999</v>
      </c>
      <c r="K539" s="9">
        <v>-184.55000000000001</v>
      </c>
      <c r="L539" s="9" t="s">
        <v>55</v>
      </c>
      <c r="M539" s="9" t="str">
        <f t="shared" si="0"/>
        <v>0-10%</v>
      </c>
    </row>
    <row r="540">
      <c r="A540" s="10">
        <v>44982</v>
      </c>
      <c r="B540" s="9" t="s">
        <v>614</v>
      </c>
      <c r="C540" s="9" t="s">
        <v>16</v>
      </c>
      <c r="D540" s="9" t="s">
        <v>11</v>
      </c>
      <c r="E540" s="9" t="s">
        <v>22</v>
      </c>
      <c r="F540" s="9" t="s">
        <v>84</v>
      </c>
      <c r="G540" s="9">
        <v>194.94999999999999</v>
      </c>
      <c r="H540" s="9">
        <v>2</v>
      </c>
      <c r="I540" s="9">
        <v>389.89999999999998</v>
      </c>
      <c r="J540" s="9">
        <v>0.27000000000000002</v>
      </c>
      <c r="K540" s="9">
        <v>-64.159999999999997</v>
      </c>
      <c r="L540" s="9" t="s">
        <v>63</v>
      </c>
      <c r="M540" s="9" t="str">
        <f t="shared" si="0"/>
        <v>10-20%</v>
      </c>
    </row>
    <row r="541">
      <c r="A541" s="10">
        <v>45064</v>
      </c>
      <c r="B541" s="9" t="s">
        <v>615</v>
      </c>
      <c r="C541" s="9" t="s">
        <v>15</v>
      </c>
      <c r="D541" s="9" t="s">
        <v>11</v>
      </c>
      <c r="E541" s="9" t="s">
        <v>21</v>
      </c>
      <c r="F541" s="9" t="s">
        <v>76</v>
      </c>
      <c r="G541" s="9">
        <v>238.96000000000001</v>
      </c>
      <c r="H541" s="9">
        <v>7</v>
      </c>
      <c r="I541" s="9">
        <v>1672.72</v>
      </c>
      <c r="J541" s="9">
        <v>0.25</v>
      </c>
      <c r="K541" s="9">
        <v>-92.489999999999995</v>
      </c>
      <c r="L541" s="9" t="s">
        <v>72</v>
      </c>
      <c r="M541" s="9" t="str">
        <f t="shared" si="0"/>
        <v>20%+</v>
      </c>
    </row>
    <row r="542">
      <c r="A542" s="10">
        <v>45131</v>
      </c>
      <c r="B542" s="9" t="s">
        <v>616</v>
      </c>
      <c r="C542" s="9" t="s">
        <v>14</v>
      </c>
      <c r="D542" s="9" t="s">
        <v>10</v>
      </c>
      <c r="E542" s="9" t="s">
        <v>19</v>
      </c>
      <c r="F542" s="9" t="s">
        <v>62</v>
      </c>
      <c r="G542" s="9">
        <v>440.69</v>
      </c>
      <c r="H542" s="9">
        <v>7</v>
      </c>
      <c r="I542" s="9">
        <v>3084.8299999999999</v>
      </c>
      <c r="J542" s="9">
        <v>0.20999999999999999</v>
      </c>
      <c r="K542" s="9">
        <v>-351.35000000000002</v>
      </c>
      <c r="L542" s="9" t="s">
        <v>72</v>
      </c>
      <c r="M542" s="9" t="str">
        <f t="shared" si="0"/>
        <v>20%+</v>
      </c>
    </row>
    <row r="543">
      <c r="A543" s="10">
        <v>45172</v>
      </c>
      <c r="B543" s="9" t="s">
        <v>617</v>
      </c>
      <c r="C543" s="9" t="s">
        <v>14</v>
      </c>
      <c r="D543" s="9" t="s">
        <v>10</v>
      </c>
      <c r="E543" s="9" t="s">
        <v>20</v>
      </c>
      <c r="F543" s="9" t="s">
        <v>74</v>
      </c>
      <c r="G543" s="9">
        <v>145.84</v>
      </c>
      <c r="H543" s="9">
        <v>4</v>
      </c>
      <c r="I543" s="9">
        <v>583.36000000000001</v>
      </c>
      <c r="J543" s="9">
        <v>0.029999999999999999</v>
      </c>
      <c r="K543" s="9">
        <v>22.199999999999999</v>
      </c>
      <c r="L543" s="9" t="s">
        <v>55</v>
      </c>
      <c r="M543" s="9" t="str">
        <f t="shared" si="0"/>
        <v>20%+</v>
      </c>
    </row>
    <row r="544">
      <c r="A544" s="10">
        <v>45245</v>
      </c>
      <c r="B544" s="9" t="s">
        <v>618</v>
      </c>
      <c r="C544" s="9" t="s">
        <v>15</v>
      </c>
      <c r="D544" s="9" t="s">
        <v>8</v>
      </c>
      <c r="E544" s="9" t="s">
        <v>20</v>
      </c>
      <c r="F544" s="9" t="s">
        <v>101</v>
      </c>
      <c r="G544" s="9">
        <v>351.29000000000002</v>
      </c>
      <c r="H544" s="9">
        <v>15</v>
      </c>
      <c r="I544" s="9">
        <v>5269.3500000000004</v>
      </c>
      <c r="J544" s="9">
        <v>0.20999999999999999</v>
      </c>
      <c r="K544" s="9">
        <v>-754.73000000000002</v>
      </c>
      <c r="L544" s="9" t="s">
        <v>55</v>
      </c>
      <c r="M544" s="9" t="str">
        <f t="shared" si="0"/>
        <v>0-10%</v>
      </c>
    </row>
    <row r="545">
      <c r="A545" s="10">
        <v>44998</v>
      </c>
      <c r="B545" s="9" t="s">
        <v>619</v>
      </c>
      <c r="C545" s="9" t="s">
        <v>17</v>
      </c>
      <c r="D545" s="9" t="s">
        <v>11</v>
      </c>
      <c r="E545" s="9" t="s">
        <v>19</v>
      </c>
      <c r="F545" s="9" t="s">
        <v>62</v>
      </c>
      <c r="G545" s="9">
        <v>384.77999999999997</v>
      </c>
      <c r="H545" s="9">
        <v>13</v>
      </c>
      <c r="I545" s="9">
        <v>5002.1400000000003</v>
      </c>
      <c r="J545" s="9">
        <v>0.26000000000000001</v>
      </c>
      <c r="K545" s="9">
        <v>-427.44999999999999</v>
      </c>
      <c r="L545" s="9" t="s">
        <v>63</v>
      </c>
      <c r="M545" s="9" t="str">
        <f t="shared" si="0"/>
        <v>20%+</v>
      </c>
    </row>
    <row r="546">
      <c r="A546" s="10">
        <v>45051</v>
      </c>
      <c r="B546" s="9" t="s">
        <v>620</v>
      </c>
      <c r="C546" s="9" t="s">
        <v>15</v>
      </c>
      <c r="D546" s="9" t="s">
        <v>12</v>
      </c>
      <c r="E546" s="9" t="s">
        <v>21</v>
      </c>
      <c r="F546" s="9" t="s">
        <v>82</v>
      </c>
      <c r="G546" s="9">
        <v>498.85000000000002</v>
      </c>
      <c r="H546" s="9">
        <v>11</v>
      </c>
      <c r="I546" s="9">
        <v>5487.3500000000004</v>
      </c>
      <c r="J546" s="9">
        <v>0.02</v>
      </c>
      <c r="K546" s="9">
        <v>693.24000000000001</v>
      </c>
      <c r="L546" s="9" t="s">
        <v>55</v>
      </c>
      <c r="M546" s="9" t="str">
        <f t="shared" si="0"/>
        <v>20%+</v>
      </c>
    </row>
    <row r="547">
      <c r="A547" s="10">
        <v>45042</v>
      </c>
      <c r="B547" s="9" t="s">
        <v>621</v>
      </c>
      <c r="C547" s="9" t="s">
        <v>14</v>
      </c>
      <c r="D547" s="9" t="s">
        <v>11</v>
      </c>
      <c r="E547" s="9" t="s">
        <v>21</v>
      </c>
      <c r="F547" s="9" t="s">
        <v>78</v>
      </c>
      <c r="G547" s="9">
        <v>50.159999999999997</v>
      </c>
      <c r="H547" s="9">
        <v>2</v>
      </c>
      <c r="I547" s="9">
        <v>100.31999999999999</v>
      </c>
      <c r="J547" s="9">
        <v>0</v>
      </c>
      <c r="K547" s="9">
        <v>13.550000000000001</v>
      </c>
      <c r="L547" s="9" t="s">
        <v>58</v>
      </c>
      <c r="M547" s="9" t="str">
        <f t="shared" si="0"/>
        <v>0-10%</v>
      </c>
    </row>
    <row r="548">
      <c r="A548" s="10">
        <v>45088</v>
      </c>
      <c r="B548" s="9" t="s">
        <v>622</v>
      </c>
      <c r="C548" s="9" t="s">
        <v>14</v>
      </c>
      <c r="D548" s="9" t="s">
        <v>8</v>
      </c>
      <c r="E548" s="9" t="s">
        <v>21</v>
      </c>
      <c r="F548" s="9" t="s">
        <v>88</v>
      </c>
      <c r="G548" s="9">
        <v>46.740000000000002</v>
      </c>
      <c r="H548" s="9">
        <v>14</v>
      </c>
      <c r="I548" s="9">
        <v>654.36000000000001</v>
      </c>
      <c r="J548" s="9">
        <v>0</v>
      </c>
      <c r="K548" s="9">
        <v>111.15000000000001</v>
      </c>
      <c r="L548" s="9" t="s">
        <v>55</v>
      </c>
      <c r="M548" s="9" t="str">
        <f t="shared" si="0"/>
        <v>0-10%</v>
      </c>
    </row>
    <row r="549">
      <c r="A549" s="10">
        <v>45280</v>
      </c>
      <c r="B549" s="9" t="s">
        <v>623</v>
      </c>
      <c r="C549" s="9" t="s">
        <v>15</v>
      </c>
      <c r="D549" s="9" t="s">
        <v>8</v>
      </c>
      <c r="E549" s="9" t="s">
        <v>19</v>
      </c>
      <c r="F549" s="9" t="s">
        <v>57</v>
      </c>
      <c r="G549" s="9">
        <v>485.10000000000002</v>
      </c>
      <c r="H549" s="9">
        <v>15</v>
      </c>
      <c r="I549" s="9">
        <v>7276.5</v>
      </c>
      <c r="J549" s="9">
        <v>0.25</v>
      </c>
      <c r="K549" s="9">
        <v>-792.30999999999995</v>
      </c>
      <c r="L549" s="9" t="s">
        <v>55</v>
      </c>
      <c r="M549" s="9" t="str">
        <f t="shared" si="0"/>
        <v>0-10%</v>
      </c>
    </row>
    <row r="550">
      <c r="A550" s="10">
        <v>45171</v>
      </c>
      <c r="B550" s="9" t="s">
        <v>624</v>
      </c>
      <c r="C550" s="9" t="s">
        <v>14</v>
      </c>
      <c r="D550" s="9" t="s">
        <v>11</v>
      </c>
      <c r="E550" s="9" t="s">
        <v>21</v>
      </c>
      <c r="F550" s="9" t="s">
        <v>78</v>
      </c>
      <c r="G550" s="9">
        <v>437.42000000000002</v>
      </c>
      <c r="H550" s="9">
        <v>13</v>
      </c>
      <c r="I550" s="9">
        <v>5686.46</v>
      </c>
      <c r="J550" s="9">
        <v>0.01</v>
      </c>
      <c r="K550" s="9">
        <v>909.49000000000001</v>
      </c>
      <c r="L550" s="9" t="s">
        <v>63</v>
      </c>
      <c r="M550" s="9" t="str">
        <f t="shared" si="0"/>
        <v>20%+</v>
      </c>
    </row>
    <row r="551">
      <c r="A551" s="10">
        <v>45049</v>
      </c>
      <c r="B551" s="9" t="s">
        <v>625</v>
      </c>
      <c r="C551" s="9" t="s">
        <v>15</v>
      </c>
      <c r="D551" s="9" t="s">
        <v>10</v>
      </c>
      <c r="E551" s="9" t="s">
        <v>22</v>
      </c>
      <c r="F551" s="9" t="s">
        <v>110</v>
      </c>
      <c r="G551" s="9">
        <v>455.67000000000002</v>
      </c>
      <c r="H551" s="9">
        <v>13</v>
      </c>
      <c r="I551" s="9">
        <v>5923.71</v>
      </c>
      <c r="J551" s="9">
        <v>0.26000000000000001</v>
      </c>
      <c r="K551" s="9">
        <v>-962.5</v>
      </c>
      <c r="L551" s="9" t="s">
        <v>55</v>
      </c>
      <c r="M551" s="9" t="str">
        <f t="shared" si="0"/>
        <v>0-10%</v>
      </c>
    </row>
    <row r="552">
      <c r="A552" s="10">
        <v>45179</v>
      </c>
      <c r="B552" s="9" t="s">
        <v>626</v>
      </c>
      <c r="C552" s="9" t="s">
        <v>14</v>
      </c>
      <c r="D552" s="9" t="s">
        <v>12</v>
      </c>
      <c r="E552" s="9" t="s">
        <v>19</v>
      </c>
      <c r="F552" s="9" t="s">
        <v>67</v>
      </c>
      <c r="G552" s="9">
        <v>275</v>
      </c>
      <c r="H552" s="9">
        <v>3</v>
      </c>
      <c r="I552" s="9">
        <v>825</v>
      </c>
      <c r="J552" s="9">
        <v>0.080000000000000002</v>
      </c>
      <c r="K552" s="9">
        <v>34.689999999999998</v>
      </c>
      <c r="L552" s="9" t="s">
        <v>55</v>
      </c>
      <c r="M552" s="9" t="str">
        <f t="shared" si="0"/>
        <v>20%+</v>
      </c>
    </row>
    <row r="553">
      <c r="A553" s="10">
        <v>45099</v>
      </c>
      <c r="B553" s="9" t="s">
        <v>627</v>
      </c>
      <c r="C553" s="9" t="s">
        <v>15</v>
      </c>
      <c r="D553" s="9" t="s">
        <v>8</v>
      </c>
      <c r="E553" s="9" t="s">
        <v>19</v>
      </c>
      <c r="F553" s="9" t="s">
        <v>60</v>
      </c>
      <c r="G553" s="9">
        <v>165.91999999999999</v>
      </c>
      <c r="H553" s="9">
        <v>2</v>
      </c>
      <c r="I553" s="9">
        <v>331.83999999999997</v>
      </c>
      <c r="J553" s="9">
        <v>0.23000000000000001</v>
      </c>
      <c r="K553" s="9">
        <v>-3.1299999999999999</v>
      </c>
      <c r="L553" s="9" t="s">
        <v>63</v>
      </c>
      <c r="M553" s="9" t="str">
        <f t="shared" si="0"/>
        <v>0-10%</v>
      </c>
    </row>
    <row r="554">
      <c r="A554" s="10">
        <v>45040</v>
      </c>
      <c r="B554" s="9" t="s">
        <v>628</v>
      </c>
      <c r="C554" s="9" t="s">
        <v>17</v>
      </c>
      <c r="D554" s="9" t="s">
        <v>12</v>
      </c>
      <c r="E554" s="9" t="s">
        <v>22</v>
      </c>
      <c r="F554" s="9" t="s">
        <v>110</v>
      </c>
      <c r="G554" s="9">
        <v>299.97000000000003</v>
      </c>
      <c r="H554" s="9">
        <v>6</v>
      </c>
      <c r="I554" s="9">
        <v>1799.8199999999999</v>
      </c>
      <c r="J554" s="9">
        <v>0.13</v>
      </c>
      <c r="K554" s="9">
        <v>-96.579999999999998</v>
      </c>
      <c r="L554" s="9" t="s">
        <v>58</v>
      </c>
      <c r="M554" s="9" t="str">
        <f t="shared" si="0"/>
        <v>20%+</v>
      </c>
    </row>
    <row r="555">
      <c r="A555" s="10">
        <v>45067</v>
      </c>
      <c r="B555" s="9" t="s">
        <v>629</v>
      </c>
      <c r="C555" s="9" t="s">
        <v>15</v>
      </c>
      <c r="D555" s="9" t="s">
        <v>11</v>
      </c>
      <c r="E555" s="9" t="s">
        <v>21</v>
      </c>
      <c r="F555" s="9" t="s">
        <v>96</v>
      </c>
      <c r="G555" s="9">
        <v>141.97999999999999</v>
      </c>
      <c r="H555" s="9">
        <v>8</v>
      </c>
      <c r="I555" s="9">
        <v>1135.8399999999999</v>
      </c>
      <c r="J555" s="9">
        <v>0.050000000000000003</v>
      </c>
      <c r="K555" s="9">
        <v>109.90000000000001</v>
      </c>
      <c r="L555" s="9" t="s">
        <v>55</v>
      </c>
      <c r="M555" s="9" t="str">
        <f t="shared" si="0"/>
        <v>10-20%</v>
      </c>
    </row>
    <row r="556">
      <c r="A556" s="10">
        <v>45177</v>
      </c>
      <c r="B556" s="9" t="s">
        <v>630</v>
      </c>
      <c r="C556" s="9" t="s">
        <v>14</v>
      </c>
      <c r="D556" s="9" t="s">
        <v>12</v>
      </c>
      <c r="E556" s="9" t="s">
        <v>19</v>
      </c>
      <c r="F556" s="9" t="s">
        <v>57</v>
      </c>
      <c r="G556" s="9">
        <v>348.69999999999999</v>
      </c>
      <c r="H556" s="9">
        <v>9</v>
      </c>
      <c r="I556" s="9">
        <v>3138.3000000000002</v>
      </c>
      <c r="J556" s="9">
        <v>0.25</v>
      </c>
      <c r="K556" s="9">
        <v>-182.03999999999999</v>
      </c>
      <c r="L556" s="9" t="s">
        <v>58</v>
      </c>
      <c r="M556" s="9" t="str">
        <f t="shared" si="0"/>
        <v>0-10%</v>
      </c>
    </row>
    <row r="557">
      <c r="A557" s="10">
        <v>45094</v>
      </c>
      <c r="B557" s="9" t="s">
        <v>631</v>
      </c>
      <c r="C557" s="9" t="s">
        <v>15</v>
      </c>
      <c r="D557" s="9" t="s">
        <v>10</v>
      </c>
      <c r="E557" s="9" t="s">
        <v>22</v>
      </c>
      <c r="F557" s="9" t="s">
        <v>84</v>
      </c>
      <c r="G557" s="9">
        <v>120.84999999999999</v>
      </c>
      <c r="H557" s="9">
        <v>12</v>
      </c>
      <c r="I557" s="9">
        <v>1450.2</v>
      </c>
      <c r="J557" s="9">
        <v>0.27000000000000002</v>
      </c>
      <c r="K557" s="9">
        <v>-296.95999999999998</v>
      </c>
      <c r="L557" s="9" t="s">
        <v>72</v>
      </c>
      <c r="M557" s="9" t="str">
        <f t="shared" si="0"/>
        <v>20%+</v>
      </c>
    </row>
    <row r="558">
      <c r="A558" s="10">
        <v>45080</v>
      </c>
      <c r="B558" s="9" t="s">
        <v>632</v>
      </c>
      <c r="C558" s="9" t="s">
        <v>15</v>
      </c>
      <c r="D558" s="9" t="s">
        <v>10</v>
      </c>
      <c r="E558" s="9" t="s">
        <v>21</v>
      </c>
      <c r="F558" s="9" t="s">
        <v>96</v>
      </c>
      <c r="G558" s="9">
        <v>302.83999999999997</v>
      </c>
      <c r="H558" s="9">
        <v>10</v>
      </c>
      <c r="I558" s="9">
        <v>3028.4000000000001</v>
      </c>
      <c r="J558" s="9">
        <v>0</v>
      </c>
      <c r="K558" s="9">
        <v>734.34000000000003</v>
      </c>
      <c r="L558" s="9" t="s">
        <v>72</v>
      </c>
      <c r="M558" s="9" t="str">
        <f t="shared" si="0"/>
        <v>20%+</v>
      </c>
    </row>
    <row r="559">
      <c r="A559" s="10">
        <v>44935</v>
      </c>
      <c r="B559" s="9" t="s">
        <v>633</v>
      </c>
      <c r="C559" s="9" t="s">
        <v>14</v>
      </c>
      <c r="D559" s="9" t="s">
        <v>12</v>
      </c>
      <c r="E559" s="9" t="s">
        <v>19</v>
      </c>
      <c r="F559" s="9" t="s">
        <v>57</v>
      </c>
      <c r="G559" s="9">
        <v>343.16000000000003</v>
      </c>
      <c r="H559" s="9">
        <v>4</v>
      </c>
      <c r="I559" s="9">
        <v>1372.6400000000001</v>
      </c>
      <c r="J559" s="9">
        <v>0.20000000000000001</v>
      </c>
      <c r="K559" s="9">
        <v>47.450000000000003</v>
      </c>
      <c r="L559" s="9" t="s">
        <v>72</v>
      </c>
      <c r="M559" s="9" t="str">
        <f t="shared" si="0"/>
        <v>0-10%</v>
      </c>
    </row>
    <row r="560">
      <c r="A560" s="10">
        <v>44993</v>
      </c>
      <c r="B560" s="9" t="s">
        <v>634</v>
      </c>
      <c r="C560" s="9" t="s">
        <v>14</v>
      </c>
      <c r="D560" s="9" t="s">
        <v>11</v>
      </c>
      <c r="E560" s="9" t="s">
        <v>19</v>
      </c>
      <c r="F560" s="9" t="s">
        <v>60</v>
      </c>
      <c r="G560" s="9">
        <v>124.28</v>
      </c>
      <c r="H560" s="9">
        <v>15</v>
      </c>
      <c r="I560" s="9">
        <v>1864.2</v>
      </c>
      <c r="J560" s="9">
        <v>0.02</v>
      </c>
      <c r="K560" s="9">
        <v>119.26000000000001</v>
      </c>
      <c r="L560" s="9" t="s">
        <v>55</v>
      </c>
      <c r="M560" s="9" t="str">
        <f t="shared" si="0"/>
        <v>10-20%</v>
      </c>
    </row>
    <row r="561">
      <c r="A561" s="10">
        <v>45158</v>
      </c>
      <c r="B561" s="9" t="s">
        <v>635</v>
      </c>
      <c r="C561" s="9" t="s">
        <v>14</v>
      </c>
      <c r="D561" s="9" t="s">
        <v>11</v>
      </c>
      <c r="E561" s="9" t="s">
        <v>21</v>
      </c>
      <c r="F561" s="9" t="s">
        <v>82</v>
      </c>
      <c r="G561" s="9">
        <v>363.30000000000001</v>
      </c>
      <c r="H561" s="9">
        <v>9</v>
      </c>
      <c r="I561" s="9">
        <v>3269.6999999999998</v>
      </c>
      <c r="J561" s="9">
        <v>0.27000000000000002</v>
      </c>
      <c r="K561" s="9">
        <v>-244.03</v>
      </c>
      <c r="L561" s="9" t="s">
        <v>63</v>
      </c>
      <c r="M561" s="9" t="str">
        <f t="shared" si="0"/>
        <v>0-10%</v>
      </c>
    </row>
    <row r="562">
      <c r="A562" s="10">
        <v>45109</v>
      </c>
      <c r="B562" s="9" t="s">
        <v>636</v>
      </c>
      <c r="C562" s="9" t="s">
        <v>15</v>
      </c>
      <c r="D562" s="9" t="s">
        <v>8</v>
      </c>
      <c r="E562" s="9" t="s">
        <v>22</v>
      </c>
      <c r="F562" s="9" t="s">
        <v>71</v>
      </c>
      <c r="G562" s="9">
        <v>265.79000000000002</v>
      </c>
      <c r="H562" s="9">
        <v>11</v>
      </c>
      <c r="I562" s="9">
        <v>2923.6900000000001</v>
      </c>
      <c r="J562" s="9">
        <v>0.23999999999999999</v>
      </c>
      <c r="K562" s="9">
        <v>-508.17000000000002</v>
      </c>
      <c r="L562" s="9" t="s">
        <v>55</v>
      </c>
      <c r="M562" s="9" t="str">
        <f t="shared" si="0"/>
        <v>20%+</v>
      </c>
    </row>
    <row r="563">
      <c r="A563" s="10">
        <v>45061</v>
      </c>
      <c r="B563" s="9" t="s">
        <v>637</v>
      </c>
      <c r="C563" s="9" t="s">
        <v>15</v>
      </c>
      <c r="D563" s="9" t="s">
        <v>9</v>
      </c>
      <c r="E563" s="9" t="s">
        <v>20</v>
      </c>
      <c r="F563" s="9" t="s">
        <v>65</v>
      </c>
      <c r="G563" s="9">
        <v>115.59</v>
      </c>
      <c r="H563" s="9">
        <v>8</v>
      </c>
      <c r="I563" s="9">
        <v>924.72000000000003</v>
      </c>
      <c r="J563" s="9">
        <v>0.02</v>
      </c>
      <c r="K563" s="9">
        <v>177.36000000000001</v>
      </c>
      <c r="L563" s="9" t="s">
        <v>63</v>
      </c>
      <c r="M563" s="9" t="str">
        <f t="shared" si="0"/>
        <v>20%+</v>
      </c>
    </row>
    <row r="564">
      <c r="A564" s="10">
        <v>45129</v>
      </c>
      <c r="B564" s="9" t="s">
        <v>638</v>
      </c>
      <c r="C564" s="9" t="s">
        <v>15</v>
      </c>
      <c r="D564" s="9" t="s">
        <v>8</v>
      </c>
      <c r="E564" s="9" t="s">
        <v>21</v>
      </c>
      <c r="F564" s="9" t="s">
        <v>82</v>
      </c>
      <c r="G564" s="9">
        <v>436.29000000000002</v>
      </c>
      <c r="H564" s="9">
        <v>12</v>
      </c>
      <c r="I564" s="9">
        <v>5235.4799999999996</v>
      </c>
      <c r="J564" s="9">
        <v>0.02</v>
      </c>
      <c r="K564" s="9">
        <v>912.38999999999999</v>
      </c>
      <c r="L564" s="9" t="s">
        <v>63</v>
      </c>
      <c r="M564" s="9" t="str">
        <f t="shared" si="0"/>
        <v>0-10%</v>
      </c>
    </row>
    <row r="565">
      <c r="A565" s="10">
        <v>45239</v>
      </c>
      <c r="B565" s="9" t="s">
        <v>639</v>
      </c>
      <c r="C565" s="9" t="s">
        <v>17</v>
      </c>
      <c r="D565" s="9" t="s">
        <v>9</v>
      </c>
      <c r="E565" s="9" t="s">
        <v>20</v>
      </c>
      <c r="F565" s="9" t="s">
        <v>74</v>
      </c>
      <c r="G565" s="9">
        <v>108.72</v>
      </c>
      <c r="H565" s="9">
        <v>9</v>
      </c>
      <c r="I565" s="9">
        <v>978.48000000000002</v>
      </c>
      <c r="J565" s="9">
        <v>0.23000000000000001</v>
      </c>
      <c r="K565" s="9">
        <v>-152.30000000000001</v>
      </c>
      <c r="L565" s="9" t="s">
        <v>72</v>
      </c>
      <c r="M565" s="9" t="str">
        <f t="shared" si="0"/>
        <v>0-10%</v>
      </c>
    </row>
    <row r="566">
      <c r="A566" s="10">
        <v>44972</v>
      </c>
      <c r="B566" s="9" t="s">
        <v>640</v>
      </c>
      <c r="C566" s="9" t="s">
        <v>14</v>
      </c>
      <c r="D566" s="9" t="s">
        <v>9</v>
      </c>
      <c r="E566" s="9" t="s">
        <v>19</v>
      </c>
      <c r="F566" s="9" t="s">
        <v>67</v>
      </c>
      <c r="G566" s="9">
        <v>318.56999999999999</v>
      </c>
      <c r="H566" s="9">
        <v>14</v>
      </c>
      <c r="I566" s="9">
        <v>4459.9799999999996</v>
      </c>
      <c r="J566" s="9">
        <v>0.089999999999999997</v>
      </c>
      <c r="K566" s="9">
        <v>91.519999999999996</v>
      </c>
      <c r="L566" s="9" t="s">
        <v>63</v>
      </c>
      <c r="M566" s="9" t="str">
        <f t="shared" si="0"/>
        <v>20%+</v>
      </c>
    </row>
    <row r="567">
      <c r="A567" s="10">
        <v>45191</v>
      </c>
      <c r="B567" s="9" t="s">
        <v>641</v>
      </c>
      <c r="C567" s="9" t="s">
        <v>16</v>
      </c>
      <c r="D567" s="9" t="s">
        <v>9</v>
      </c>
      <c r="E567" s="9" t="s">
        <v>21</v>
      </c>
      <c r="F567" s="9" t="s">
        <v>96</v>
      </c>
      <c r="G567" s="9">
        <v>362.33999999999997</v>
      </c>
      <c r="H567" s="9">
        <v>12</v>
      </c>
      <c r="I567" s="9">
        <v>4348.0799999999999</v>
      </c>
      <c r="J567" s="9">
        <v>0.23000000000000001</v>
      </c>
      <c r="K567" s="9">
        <v>-349.17000000000002</v>
      </c>
      <c r="L567" s="9" t="s">
        <v>58</v>
      </c>
      <c r="M567" s="9" t="str">
        <f t="shared" si="0"/>
        <v>0-10%</v>
      </c>
    </row>
    <row r="568">
      <c r="A568" s="10">
        <v>45200</v>
      </c>
      <c r="B568" s="9" t="s">
        <v>642</v>
      </c>
      <c r="C568" s="9" t="s">
        <v>15</v>
      </c>
      <c r="D568" s="9" t="s">
        <v>8</v>
      </c>
      <c r="E568" s="9" t="s">
        <v>20</v>
      </c>
      <c r="F568" s="9" t="s">
        <v>74</v>
      </c>
      <c r="G568" s="9">
        <v>175.31</v>
      </c>
      <c r="H568" s="9">
        <v>2</v>
      </c>
      <c r="I568" s="9">
        <v>350.62</v>
      </c>
      <c r="J568" s="9">
        <v>0.26000000000000001</v>
      </c>
      <c r="K568" s="9">
        <v>-61.82</v>
      </c>
      <c r="L568" s="9" t="s">
        <v>63</v>
      </c>
      <c r="M568" s="9" t="str">
        <f t="shared" si="0"/>
        <v>20%+</v>
      </c>
    </row>
    <row r="569">
      <c r="A569" s="10">
        <v>44997</v>
      </c>
      <c r="B569" s="9" t="s">
        <v>643</v>
      </c>
      <c r="C569" s="9" t="s">
        <v>16</v>
      </c>
      <c r="D569" s="9" t="s">
        <v>11</v>
      </c>
      <c r="E569" s="9" t="s">
        <v>21</v>
      </c>
      <c r="F569" s="9" t="s">
        <v>78</v>
      </c>
      <c r="G569" s="9">
        <v>316.72000000000003</v>
      </c>
      <c r="H569" s="9">
        <v>7</v>
      </c>
      <c r="I569" s="9">
        <v>2217.04</v>
      </c>
      <c r="J569" s="9">
        <v>0.23999999999999999</v>
      </c>
      <c r="K569" s="9">
        <v>5.0199999999999996</v>
      </c>
      <c r="L569" s="9" t="s">
        <v>55</v>
      </c>
      <c r="M569" s="9" t="str">
        <f t="shared" si="0"/>
        <v>20%+</v>
      </c>
    </row>
    <row r="570">
      <c r="A570" s="10">
        <v>44964</v>
      </c>
      <c r="B570" s="9" t="s">
        <v>644</v>
      </c>
      <c r="C570" s="9" t="s">
        <v>14</v>
      </c>
      <c r="D570" s="9" t="s">
        <v>9</v>
      </c>
      <c r="E570" s="9" t="s">
        <v>20</v>
      </c>
      <c r="F570" s="9" t="s">
        <v>65</v>
      </c>
      <c r="G570" s="9">
        <v>336.06999999999999</v>
      </c>
      <c r="H570" s="9">
        <v>13</v>
      </c>
      <c r="I570" s="9">
        <v>4368.9099999999999</v>
      </c>
      <c r="J570" s="9">
        <v>0.10000000000000001</v>
      </c>
      <c r="K570" s="9">
        <v>-111.36</v>
      </c>
      <c r="L570" s="9" t="s">
        <v>55</v>
      </c>
      <c r="M570" s="9" t="str">
        <f t="shared" si="0"/>
        <v>20%+</v>
      </c>
    </row>
    <row r="571">
      <c r="A571" s="10">
        <v>45237</v>
      </c>
      <c r="B571" s="9" t="s">
        <v>645</v>
      </c>
      <c r="C571" s="9" t="s">
        <v>14</v>
      </c>
      <c r="D571" s="9" t="s">
        <v>12</v>
      </c>
      <c r="E571" s="9" t="s">
        <v>22</v>
      </c>
      <c r="F571" s="9" t="s">
        <v>54</v>
      </c>
      <c r="G571" s="9">
        <v>297.66000000000003</v>
      </c>
      <c r="H571" s="9">
        <v>13</v>
      </c>
      <c r="I571" s="9">
        <v>3869.5799999999999</v>
      </c>
      <c r="J571" s="9">
        <v>0.16</v>
      </c>
      <c r="K571" s="9">
        <v>91.189999999999998</v>
      </c>
      <c r="L571" s="9" t="s">
        <v>58</v>
      </c>
      <c r="M571" s="9" t="str">
        <f t="shared" si="0"/>
        <v>0-10%</v>
      </c>
    </row>
    <row r="572">
      <c r="A572" s="10">
        <v>45226</v>
      </c>
      <c r="B572" s="9" t="s">
        <v>646</v>
      </c>
      <c r="C572" s="9" t="s">
        <v>16</v>
      </c>
      <c r="D572" s="9" t="s">
        <v>8</v>
      </c>
      <c r="E572" s="9" t="s">
        <v>19</v>
      </c>
      <c r="F572" s="9" t="s">
        <v>60</v>
      </c>
      <c r="G572" s="9">
        <v>220.00999999999999</v>
      </c>
      <c r="H572" s="9">
        <v>7</v>
      </c>
      <c r="I572" s="9">
        <v>1540.0699999999999</v>
      </c>
      <c r="J572" s="9">
        <v>0.22</v>
      </c>
      <c r="K572" s="9">
        <v>-218.33000000000001</v>
      </c>
      <c r="L572" s="9" t="s">
        <v>55</v>
      </c>
      <c r="M572" s="9" t="str">
        <f t="shared" si="0"/>
        <v>10-20%</v>
      </c>
    </row>
    <row r="573">
      <c r="A573" s="10">
        <v>45008</v>
      </c>
      <c r="B573" s="9" t="s">
        <v>647</v>
      </c>
      <c r="C573" s="9" t="s">
        <v>16</v>
      </c>
      <c r="D573" s="9" t="s">
        <v>12</v>
      </c>
      <c r="E573" s="9" t="s">
        <v>22</v>
      </c>
      <c r="F573" s="9" t="s">
        <v>54</v>
      </c>
      <c r="G573" s="9">
        <v>188.66999999999999</v>
      </c>
      <c r="H573" s="9">
        <v>10</v>
      </c>
      <c r="I573" s="9">
        <v>1886.7</v>
      </c>
      <c r="J573" s="9">
        <v>0.20000000000000001</v>
      </c>
      <c r="K573" s="9">
        <v>80.870000000000005</v>
      </c>
      <c r="L573" s="9" t="s">
        <v>58</v>
      </c>
      <c r="M573" s="9" t="str">
        <f t="shared" si="0"/>
        <v>20%+</v>
      </c>
    </row>
    <row r="574">
      <c r="A574" s="10">
        <v>45100</v>
      </c>
      <c r="B574" s="9" t="s">
        <v>648</v>
      </c>
      <c r="C574" s="9" t="s">
        <v>16</v>
      </c>
      <c r="D574" s="9" t="s">
        <v>9</v>
      </c>
      <c r="E574" s="9" t="s">
        <v>22</v>
      </c>
      <c r="F574" s="9" t="s">
        <v>110</v>
      </c>
      <c r="G574" s="9">
        <v>317.47000000000003</v>
      </c>
      <c r="H574" s="9">
        <v>2</v>
      </c>
      <c r="I574" s="9">
        <v>634.94000000000005</v>
      </c>
      <c r="J574" s="9">
        <v>0.25</v>
      </c>
      <c r="K574" s="9">
        <v>-67.959999999999994</v>
      </c>
      <c r="L574" s="9" t="s">
        <v>63</v>
      </c>
      <c r="M574" s="9" t="str">
        <f t="shared" si="0"/>
        <v>10-20%</v>
      </c>
    </row>
    <row r="575">
      <c r="A575" s="10">
        <v>45147</v>
      </c>
      <c r="B575" s="9" t="s">
        <v>649</v>
      </c>
      <c r="C575" s="9" t="s">
        <v>15</v>
      </c>
      <c r="D575" s="9" t="s">
        <v>12</v>
      </c>
      <c r="E575" s="9" t="s">
        <v>21</v>
      </c>
      <c r="F575" s="9" t="s">
        <v>96</v>
      </c>
      <c r="G575" s="9">
        <v>159.22</v>
      </c>
      <c r="H575" s="9">
        <v>7</v>
      </c>
      <c r="I575" s="9">
        <v>1114.54</v>
      </c>
      <c r="J575" s="9">
        <v>0.089999999999999997</v>
      </c>
      <c r="K575" s="9">
        <v>96.280000000000001</v>
      </c>
      <c r="L575" s="9" t="s">
        <v>58</v>
      </c>
      <c r="M575" s="9" t="str">
        <f t="shared" si="0"/>
        <v>20%+</v>
      </c>
    </row>
    <row r="576">
      <c r="A576" s="10">
        <v>45190</v>
      </c>
      <c r="B576" s="9" t="s">
        <v>650</v>
      </c>
      <c r="C576" s="9" t="s">
        <v>15</v>
      </c>
      <c r="D576" s="9" t="s">
        <v>12</v>
      </c>
      <c r="E576" s="9" t="s">
        <v>19</v>
      </c>
      <c r="F576" s="9" t="s">
        <v>98</v>
      </c>
      <c r="G576" s="9">
        <v>88.719999999999999</v>
      </c>
      <c r="H576" s="9">
        <v>4</v>
      </c>
      <c r="I576" s="9">
        <v>354.88</v>
      </c>
      <c r="J576" s="9">
        <v>0.23999999999999999</v>
      </c>
      <c r="K576" s="9">
        <v>-9.0800000000000001</v>
      </c>
      <c r="L576" s="9" t="s">
        <v>72</v>
      </c>
      <c r="M576" s="9" t="str">
        <f t="shared" si="0"/>
        <v>0-10%</v>
      </c>
    </row>
    <row r="577">
      <c r="A577" s="10">
        <v>45128</v>
      </c>
      <c r="B577" s="9" t="s">
        <v>651</v>
      </c>
      <c r="C577" s="9" t="s">
        <v>17</v>
      </c>
      <c r="D577" s="9" t="s">
        <v>8</v>
      </c>
      <c r="E577" s="9" t="s">
        <v>21</v>
      </c>
      <c r="F577" s="9" t="s">
        <v>82</v>
      </c>
      <c r="G577" s="9">
        <v>203.41</v>
      </c>
      <c r="H577" s="9">
        <v>15</v>
      </c>
      <c r="I577" s="9">
        <v>3051.1500000000001</v>
      </c>
      <c r="J577" s="9">
        <v>0.089999999999999997</v>
      </c>
      <c r="K577" s="9">
        <v>45.689999999999998</v>
      </c>
      <c r="L577" s="9" t="s">
        <v>72</v>
      </c>
      <c r="M577" s="9" t="str">
        <f t="shared" si="0"/>
        <v>20%+</v>
      </c>
    </row>
    <row r="578">
      <c r="A578" s="10">
        <v>45255</v>
      </c>
      <c r="B578" s="9" t="s">
        <v>652</v>
      </c>
      <c r="C578" s="9" t="s">
        <v>17</v>
      </c>
      <c r="D578" s="9" t="s">
        <v>11</v>
      </c>
      <c r="E578" s="9" t="s">
        <v>20</v>
      </c>
      <c r="F578" s="9" t="s">
        <v>65</v>
      </c>
      <c r="G578" s="9">
        <v>39.710000000000001</v>
      </c>
      <c r="H578" s="9">
        <v>12</v>
      </c>
      <c r="I578" s="9">
        <v>476.51999999999998</v>
      </c>
      <c r="J578" s="9">
        <v>0.27000000000000002</v>
      </c>
      <c r="K578" s="9">
        <v>-50.619999999999997</v>
      </c>
      <c r="L578" s="9" t="s">
        <v>72</v>
      </c>
      <c r="M578" s="9" t="str">
        <f t="shared" si="0"/>
        <v>0-10%</v>
      </c>
    </row>
    <row r="579">
      <c r="A579" s="10">
        <v>45279</v>
      </c>
      <c r="B579" s="9" t="s">
        <v>653</v>
      </c>
      <c r="C579" s="9" t="s">
        <v>17</v>
      </c>
      <c r="D579" s="9" t="s">
        <v>10</v>
      </c>
      <c r="E579" s="9" t="s">
        <v>20</v>
      </c>
      <c r="F579" s="9" t="s">
        <v>69</v>
      </c>
      <c r="G579" s="9">
        <v>458.44</v>
      </c>
      <c r="H579" s="9">
        <v>2</v>
      </c>
      <c r="I579" s="9">
        <v>916.88</v>
      </c>
      <c r="J579" s="9">
        <v>0.080000000000000002</v>
      </c>
      <c r="K579" s="9">
        <v>152.88</v>
      </c>
      <c r="L579" s="9" t="s">
        <v>58</v>
      </c>
      <c r="M579" s="9" t="str">
        <f t="shared" si="0"/>
        <v>20%+</v>
      </c>
    </row>
    <row r="580">
      <c r="A580" s="10">
        <v>45290</v>
      </c>
      <c r="B580" s="9" t="s">
        <v>654</v>
      </c>
      <c r="C580" s="9" t="s">
        <v>14</v>
      </c>
      <c r="D580" s="9" t="s">
        <v>10</v>
      </c>
      <c r="E580" s="9" t="s">
        <v>21</v>
      </c>
      <c r="F580" s="9" t="s">
        <v>78</v>
      </c>
      <c r="G580" s="9">
        <v>409.75999999999999</v>
      </c>
      <c r="H580" s="9">
        <v>13</v>
      </c>
      <c r="I580" s="9">
        <v>5326.8800000000001</v>
      </c>
      <c r="J580" s="9">
        <v>0.22</v>
      </c>
      <c r="K580" s="9">
        <v>-697.05999999999995</v>
      </c>
      <c r="L580" s="9" t="s">
        <v>58</v>
      </c>
      <c r="M580" s="9" t="str">
        <f t="shared" si="0"/>
        <v>0-10%</v>
      </c>
    </row>
    <row r="581">
      <c r="A581" s="10">
        <v>45155</v>
      </c>
      <c r="B581" s="9" t="s">
        <v>655</v>
      </c>
      <c r="C581" s="9" t="s">
        <v>17</v>
      </c>
      <c r="D581" s="9" t="s">
        <v>11</v>
      </c>
      <c r="E581" s="9" t="s">
        <v>22</v>
      </c>
      <c r="F581" s="9" t="s">
        <v>110</v>
      </c>
      <c r="G581" s="9">
        <v>321.75999999999999</v>
      </c>
      <c r="H581" s="9">
        <v>6</v>
      </c>
      <c r="I581" s="9">
        <v>1930.5599999999999</v>
      </c>
      <c r="J581" s="9">
        <v>0.13</v>
      </c>
      <c r="K581" s="9">
        <v>159.53</v>
      </c>
      <c r="L581" s="9" t="s">
        <v>63</v>
      </c>
      <c r="M581" s="9" t="str">
        <f t="shared" si="0"/>
        <v>20%+</v>
      </c>
    </row>
    <row r="582">
      <c r="A582" s="10">
        <v>45024</v>
      </c>
      <c r="B582" s="9" t="s">
        <v>656</v>
      </c>
      <c r="C582" s="9" t="s">
        <v>14</v>
      </c>
      <c r="D582" s="9" t="s">
        <v>12</v>
      </c>
      <c r="E582" s="9" t="s">
        <v>22</v>
      </c>
      <c r="F582" s="9" t="s">
        <v>71</v>
      </c>
      <c r="G582" s="9">
        <v>496.32999999999998</v>
      </c>
      <c r="H582" s="9">
        <v>6</v>
      </c>
      <c r="I582" s="9">
        <v>2977.98</v>
      </c>
      <c r="J582" s="9">
        <v>0.23999999999999999</v>
      </c>
      <c r="K582" s="9">
        <v>-89.900000000000006</v>
      </c>
      <c r="L582" s="9" t="s">
        <v>63</v>
      </c>
      <c r="M582" s="9" t="str">
        <f t="shared" si="0"/>
        <v>10-20%</v>
      </c>
    </row>
    <row r="583">
      <c r="A583" s="10">
        <v>45204</v>
      </c>
      <c r="B583" s="9" t="s">
        <v>657</v>
      </c>
      <c r="C583" s="9" t="s">
        <v>16</v>
      </c>
      <c r="D583" s="9" t="s">
        <v>8</v>
      </c>
      <c r="E583" s="9" t="s">
        <v>21</v>
      </c>
      <c r="F583" s="9" t="s">
        <v>82</v>
      </c>
      <c r="G583" s="9">
        <v>69.310000000000002</v>
      </c>
      <c r="H583" s="9">
        <v>11</v>
      </c>
      <c r="I583" s="9">
        <v>762.40999999999997</v>
      </c>
      <c r="J583" s="9">
        <v>0.17999999999999999</v>
      </c>
      <c r="K583" s="9">
        <v>-40.259999999999998</v>
      </c>
      <c r="L583" s="9" t="s">
        <v>55</v>
      </c>
      <c r="M583" s="9" t="str">
        <f t="shared" si="0"/>
        <v>20%+</v>
      </c>
    </row>
    <row r="584">
      <c r="A584" s="10">
        <v>45182</v>
      </c>
      <c r="B584" s="9" t="s">
        <v>658</v>
      </c>
      <c r="C584" s="9" t="s">
        <v>16</v>
      </c>
      <c r="D584" s="9" t="s">
        <v>10</v>
      </c>
      <c r="E584" s="9" t="s">
        <v>21</v>
      </c>
      <c r="F584" s="9" t="s">
        <v>78</v>
      </c>
      <c r="G584" s="9">
        <v>240.86000000000001</v>
      </c>
      <c r="H584" s="9">
        <v>9</v>
      </c>
      <c r="I584" s="9">
        <v>2167.7399999999998</v>
      </c>
      <c r="J584" s="9">
        <v>0.13</v>
      </c>
      <c r="K584" s="9">
        <v>168.96000000000001</v>
      </c>
      <c r="L584" s="9" t="s">
        <v>58</v>
      </c>
      <c r="M584" s="9" t="str">
        <f t="shared" si="0"/>
        <v>10-20%</v>
      </c>
    </row>
    <row r="585">
      <c r="A585" s="10">
        <v>45245</v>
      </c>
      <c r="B585" s="9" t="s">
        <v>659</v>
      </c>
      <c r="C585" s="9" t="s">
        <v>16</v>
      </c>
      <c r="D585" s="9" t="s">
        <v>12</v>
      </c>
      <c r="E585" s="9" t="s">
        <v>19</v>
      </c>
      <c r="F585" s="9" t="s">
        <v>67</v>
      </c>
      <c r="G585" s="9">
        <v>230.36000000000001</v>
      </c>
      <c r="H585" s="9">
        <v>9</v>
      </c>
      <c r="I585" s="9">
        <v>2073.2399999999998</v>
      </c>
      <c r="J585" s="9">
        <v>0.16</v>
      </c>
      <c r="K585" s="9">
        <v>-227.52000000000001</v>
      </c>
      <c r="L585" s="9" t="s">
        <v>55</v>
      </c>
      <c r="M585" s="9" t="str">
        <f t="shared" si="0"/>
        <v>10-20%</v>
      </c>
    </row>
    <row r="586">
      <c r="A586" s="10">
        <v>45030</v>
      </c>
      <c r="B586" s="9" t="s">
        <v>660</v>
      </c>
      <c r="C586" s="9" t="s">
        <v>14</v>
      </c>
      <c r="D586" s="9" t="s">
        <v>8</v>
      </c>
      <c r="E586" s="9" t="s">
        <v>20</v>
      </c>
      <c r="F586" s="9" t="s">
        <v>74</v>
      </c>
      <c r="G586" s="9">
        <v>162.34</v>
      </c>
      <c r="H586" s="9">
        <v>4</v>
      </c>
      <c r="I586" s="9">
        <v>649.36000000000001</v>
      </c>
      <c r="J586" s="9">
        <v>0.23999999999999999</v>
      </c>
      <c r="K586" s="9">
        <v>-11.65</v>
      </c>
      <c r="L586" s="9" t="s">
        <v>63</v>
      </c>
      <c r="M586" s="9" t="str">
        <f t="shared" si="0"/>
        <v>10-20%</v>
      </c>
    </row>
    <row r="587">
      <c r="A587" s="10">
        <v>45130</v>
      </c>
      <c r="B587" s="9" t="s">
        <v>661</v>
      </c>
      <c r="C587" s="9" t="s">
        <v>17</v>
      </c>
      <c r="D587" s="9" t="s">
        <v>8</v>
      </c>
      <c r="E587" s="9" t="s">
        <v>19</v>
      </c>
      <c r="F587" s="9" t="s">
        <v>60</v>
      </c>
      <c r="G587" s="9">
        <v>306.06</v>
      </c>
      <c r="H587" s="9">
        <v>1</v>
      </c>
      <c r="I587" s="9">
        <v>306.06</v>
      </c>
      <c r="J587" s="9">
        <v>0.059999999999999998</v>
      </c>
      <c r="K587" s="9">
        <v>42.770000000000003</v>
      </c>
      <c r="L587" s="9" t="s">
        <v>72</v>
      </c>
      <c r="M587" s="9" t="str">
        <f t="shared" si="0"/>
        <v>20%+</v>
      </c>
    </row>
    <row r="588">
      <c r="A588" s="10">
        <v>45225</v>
      </c>
      <c r="B588" s="9" t="s">
        <v>662</v>
      </c>
      <c r="C588" s="9" t="s">
        <v>16</v>
      </c>
      <c r="D588" s="9" t="s">
        <v>12</v>
      </c>
      <c r="E588" s="9" t="s">
        <v>20</v>
      </c>
      <c r="F588" s="9" t="s">
        <v>74</v>
      </c>
      <c r="G588" s="9">
        <v>437.92000000000002</v>
      </c>
      <c r="H588" s="9">
        <v>12</v>
      </c>
      <c r="I588" s="9">
        <v>5255.04</v>
      </c>
      <c r="J588" s="9">
        <v>0.080000000000000002</v>
      </c>
      <c r="K588" s="9">
        <v>336.62</v>
      </c>
      <c r="L588" s="9" t="s">
        <v>72</v>
      </c>
      <c r="M588" s="9" t="str">
        <f t="shared" si="0"/>
        <v>0-10%</v>
      </c>
    </row>
    <row r="589">
      <c r="A589" s="10">
        <v>45287</v>
      </c>
      <c r="B589" s="9" t="s">
        <v>663</v>
      </c>
      <c r="C589" s="9" t="s">
        <v>15</v>
      </c>
      <c r="D589" s="9" t="s">
        <v>11</v>
      </c>
      <c r="E589" s="9" t="s">
        <v>22</v>
      </c>
      <c r="F589" s="9" t="s">
        <v>110</v>
      </c>
      <c r="G589" s="9">
        <v>135.38</v>
      </c>
      <c r="H589" s="9">
        <v>11</v>
      </c>
      <c r="I589" s="9">
        <v>1489.1800000000001</v>
      </c>
      <c r="J589" s="9">
        <v>0.11</v>
      </c>
      <c r="K589" s="9">
        <v>186.69</v>
      </c>
      <c r="L589" s="9" t="s">
        <v>55</v>
      </c>
      <c r="M589" s="9" t="str">
        <f t="shared" si="0"/>
        <v>0-10%</v>
      </c>
    </row>
    <row r="590">
      <c r="A590" s="10">
        <v>45277</v>
      </c>
      <c r="B590" s="9" t="s">
        <v>664</v>
      </c>
      <c r="C590" s="9" t="s">
        <v>15</v>
      </c>
      <c r="D590" s="9" t="s">
        <v>9</v>
      </c>
      <c r="E590" s="9" t="s">
        <v>20</v>
      </c>
      <c r="F590" s="9" t="s">
        <v>69</v>
      </c>
      <c r="G590" s="9">
        <v>145.21000000000001</v>
      </c>
      <c r="H590" s="9">
        <v>7</v>
      </c>
      <c r="I590" s="9">
        <v>1016.47</v>
      </c>
      <c r="J590" s="9">
        <v>0.13</v>
      </c>
      <c r="K590" s="9">
        <v>55.880000000000003</v>
      </c>
      <c r="L590" s="9" t="s">
        <v>55</v>
      </c>
      <c r="M590" s="9" t="str">
        <f t="shared" si="0"/>
        <v>10-20%</v>
      </c>
    </row>
    <row r="591">
      <c r="A591" s="10">
        <v>45130</v>
      </c>
      <c r="B591" s="9" t="s">
        <v>665</v>
      </c>
      <c r="C591" s="9" t="s">
        <v>15</v>
      </c>
      <c r="D591" s="9" t="s">
        <v>11</v>
      </c>
      <c r="E591" s="9" t="s">
        <v>21</v>
      </c>
      <c r="F591" s="9" t="s">
        <v>96</v>
      </c>
      <c r="G591" s="9">
        <v>24.710000000000001</v>
      </c>
      <c r="H591" s="9">
        <v>5</v>
      </c>
      <c r="I591" s="9">
        <v>123.55</v>
      </c>
      <c r="J591" s="9">
        <v>0</v>
      </c>
      <c r="K591" s="9">
        <v>11.390000000000001</v>
      </c>
      <c r="L591" s="9" t="s">
        <v>63</v>
      </c>
      <c r="M591" s="9" t="str">
        <f t="shared" si="0"/>
        <v>10-20%</v>
      </c>
    </row>
    <row r="592">
      <c r="A592" s="10">
        <v>44976</v>
      </c>
      <c r="B592" s="9" t="s">
        <v>666</v>
      </c>
      <c r="C592" s="9" t="s">
        <v>16</v>
      </c>
      <c r="D592" s="9" t="s">
        <v>10</v>
      </c>
      <c r="E592" s="9" t="s">
        <v>21</v>
      </c>
      <c r="F592" s="9" t="s">
        <v>76</v>
      </c>
      <c r="G592" s="9">
        <v>100.44</v>
      </c>
      <c r="H592" s="9">
        <v>13</v>
      </c>
      <c r="I592" s="9">
        <v>1305.72</v>
      </c>
      <c r="J592" s="9">
        <v>0.059999999999999998</v>
      </c>
      <c r="K592" s="9">
        <v>10.83</v>
      </c>
      <c r="L592" s="9" t="s">
        <v>72</v>
      </c>
      <c r="M592" s="9" t="str">
        <f t="shared" si="0"/>
        <v>0-10%</v>
      </c>
    </row>
    <row r="593">
      <c r="A593" s="10">
        <v>45209</v>
      </c>
      <c r="B593" s="9" t="s">
        <v>667</v>
      </c>
      <c r="C593" s="9" t="s">
        <v>17</v>
      </c>
      <c r="D593" s="9" t="s">
        <v>9</v>
      </c>
      <c r="E593" s="9" t="s">
        <v>19</v>
      </c>
      <c r="F593" s="9" t="s">
        <v>98</v>
      </c>
      <c r="G593" s="9">
        <v>423.72000000000003</v>
      </c>
      <c r="H593" s="9">
        <v>13</v>
      </c>
      <c r="I593" s="9">
        <v>5508.3599999999997</v>
      </c>
      <c r="J593" s="9">
        <v>0.029999999999999999</v>
      </c>
      <c r="K593" s="9">
        <v>513.75</v>
      </c>
      <c r="L593" s="9" t="s">
        <v>72</v>
      </c>
      <c r="M593" s="9" t="str">
        <f t="shared" si="0"/>
        <v>0-10%</v>
      </c>
    </row>
    <row r="594">
      <c r="A594" s="10">
        <v>45226</v>
      </c>
      <c r="B594" s="9" t="s">
        <v>668</v>
      </c>
      <c r="C594" s="9" t="s">
        <v>14</v>
      </c>
      <c r="D594" s="9" t="s">
        <v>10</v>
      </c>
      <c r="E594" s="9" t="s">
        <v>20</v>
      </c>
      <c r="F594" s="9" t="s">
        <v>65</v>
      </c>
      <c r="G594" s="9">
        <v>28.390000000000001</v>
      </c>
      <c r="H594" s="9">
        <v>13</v>
      </c>
      <c r="I594" s="9">
        <v>369.06999999999999</v>
      </c>
      <c r="J594" s="9">
        <v>0.25</v>
      </c>
      <c r="K594" s="9">
        <v>-27.579999999999998</v>
      </c>
      <c r="L594" s="9" t="s">
        <v>72</v>
      </c>
      <c r="M594" s="9" t="str">
        <f t="shared" si="0"/>
        <v>0-10%</v>
      </c>
    </row>
    <row r="595">
      <c r="A595" s="10">
        <v>45128</v>
      </c>
      <c r="B595" s="9" t="s">
        <v>669</v>
      </c>
      <c r="C595" s="9" t="s">
        <v>16</v>
      </c>
      <c r="D595" s="9" t="s">
        <v>10</v>
      </c>
      <c r="E595" s="9" t="s">
        <v>20</v>
      </c>
      <c r="F595" s="9" t="s">
        <v>101</v>
      </c>
      <c r="G595" s="9">
        <v>401.13</v>
      </c>
      <c r="H595" s="9">
        <v>1</v>
      </c>
      <c r="I595" s="9">
        <v>401.13</v>
      </c>
      <c r="J595" s="9">
        <v>0.040000000000000001</v>
      </c>
      <c r="K595" s="9">
        <v>13.619999999999999</v>
      </c>
      <c r="L595" s="9" t="s">
        <v>72</v>
      </c>
      <c r="M595" s="9" t="str">
        <f t="shared" si="0"/>
        <v>20%+</v>
      </c>
    </row>
    <row r="596">
      <c r="A596" s="10">
        <v>45283</v>
      </c>
      <c r="B596" s="9" t="s">
        <v>670</v>
      </c>
      <c r="C596" s="9" t="s">
        <v>14</v>
      </c>
      <c r="D596" s="9" t="s">
        <v>8</v>
      </c>
      <c r="E596" s="9" t="s">
        <v>21</v>
      </c>
      <c r="F596" s="9" t="s">
        <v>78</v>
      </c>
      <c r="G596" s="9">
        <v>241.13999999999999</v>
      </c>
      <c r="H596" s="9">
        <v>13</v>
      </c>
      <c r="I596" s="9">
        <v>3134.8200000000002</v>
      </c>
      <c r="J596" s="9">
        <v>0.080000000000000002</v>
      </c>
      <c r="K596" s="9">
        <v>225.87</v>
      </c>
      <c r="L596" s="9" t="s">
        <v>55</v>
      </c>
      <c r="M596" s="9" t="str">
        <f t="shared" si="0"/>
        <v>0-10%</v>
      </c>
    </row>
    <row r="597">
      <c r="A597" s="10">
        <v>45054</v>
      </c>
      <c r="B597" s="9" t="s">
        <v>671</v>
      </c>
      <c r="C597" s="9" t="s">
        <v>16</v>
      </c>
      <c r="D597" s="9" t="s">
        <v>10</v>
      </c>
      <c r="E597" s="9" t="s">
        <v>20</v>
      </c>
      <c r="F597" s="9" t="s">
        <v>101</v>
      </c>
      <c r="G597" s="9">
        <v>363.06</v>
      </c>
      <c r="H597" s="9">
        <v>14</v>
      </c>
      <c r="I597" s="9">
        <v>5082.8400000000001</v>
      </c>
      <c r="J597" s="9">
        <v>0.14999999999999999</v>
      </c>
      <c r="K597" s="9">
        <v>-505.25999999999999</v>
      </c>
      <c r="L597" s="9" t="s">
        <v>55</v>
      </c>
      <c r="M597" s="9" t="str">
        <f t="shared" si="0"/>
        <v>0-10%</v>
      </c>
    </row>
    <row r="598">
      <c r="A598" s="10">
        <v>45286</v>
      </c>
      <c r="B598" s="9" t="s">
        <v>672</v>
      </c>
      <c r="C598" s="9" t="s">
        <v>15</v>
      </c>
      <c r="D598" s="9" t="s">
        <v>10</v>
      </c>
      <c r="E598" s="9" t="s">
        <v>21</v>
      </c>
      <c r="F598" s="9" t="s">
        <v>82</v>
      </c>
      <c r="G598" s="9">
        <v>66.310000000000002</v>
      </c>
      <c r="H598" s="9">
        <v>12</v>
      </c>
      <c r="I598" s="9">
        <v>795.72000000000003</v>
      </c>
      <c r="J598" s="9">
        <v>0.22</v>
      </c>
      <c r="K598" s="9">
        <v>-16.649999999999999</v>
      </c>
      <c r="L598" s="9" t="s">
        <v>55</v>
      </c>
      <c r="M598" s="9" t="str">
        <f t="shared" si="0"/>
        <v>10-20%</v>
      </c>
    </row>
    <row r="599">
      <c r="A599" s="10">
        <v>45032</v>
      </c>
      <c r="B599" s="9" t="s">
        <v>673</v>
      </c>
      <c r="C599" s="9" t="s">
        <v>14</v>
      </c>
      <c r="D599" s="9" t="s">
        <v>11</v>
      </c>
      <c r="E599" s="9" t="s">
        <v>19</v>
      </c>
      <c r="F599" s="9" t="s">
        <v>98</v>
      </c>
      <c r="G599" s="9">
        <v>354.73000000000002</v>
      </c>
      <c r="H599" s="9">
        <v>12</v>
      </c>
      <c r="I599" s="9">
        <v>4256.7600000000002</v>
      </c>
      <c r="J599" s="9">
        <v>0.17000000000000001</v>
      </c>
      <c r="K599" s="9">
        <v>63.030000000000001</v>
      </c>
      <c r="L599" s="9" t="s">
        <v>58</v>
      </c>
      <c r="M599" s="9" t="str">
        <f t="shared" si="0"/>
        <v>20%+</v>
      </c>
    </row>
    <row r="600">
      <c r="A600" s="10">
        <v>45112</v>
      </c>
      <c r="B600" s="9" t="s">
        <v>674</v>
      </c>
      <c r="C600" s="9" t="s">
        <v>14</v>
      </c>
      <c r="D600" s="9" t="s">
        <v>8</v>
      </c>
      <c r="E600" s="9" t="s">
        <v>19</v>
      </c>
      <c r="F600" s="9" t="s">
        <v>98</v>
      </c>
      <c r="G600" s="9">
        <v>394.62</v>
      </c>
      <c r="H600" s="9">
        <v>7</v>
      </c>
      <c r="I600" s="9">
        <v>2762.3400000000001</v>
      </c>
      <c r="J600" s="9">
        <v>0.27000000000000002</v>
      </c>
      <c r="K600" s="9">
        <v>-97.609999999999999</v>
      </c>
      <c r="L600" s="9" t="s">
        <v>72</v>
      </c>
      <c r="M600" s="9" t="str">
        <f t="shared" si="0"/>
        <v>10-20%</v>
      </c>
    </row>
    <row r="601">
      <c r="A601" s="10">
        <v>45132</v>
      </c>
      <c r="B601" s="9" t="s">
        <v>675</v>
      </c>
      <c r="C601" s="9" t="s">
        <v>17</v>
      </c>
      <c r="D601" s="9" t="s">
        <v>8</v>
      </c>
      <c r="E601" s="9" t="s">
        <v>19</v>
      </c>
      <c r="F601" s="9" t="s">
        <v>60</v>
      </c>
      <c r="G601" s="9">
        <v>493.94</v>
      </c>
      <c r="H601" s="9">
        <v>12</v>
      </c>
      <c r="I601" s="9">
        <v>5927.2799999999997</v>
      </c>
      <c r="J601" s="9">
        <v>0.14999999999999999</v>
      </c>
      <c r="K601" s="9">
        <v>-201.06</v>
      </c>
      <c r="L601" s="9" t="s">
        <v>58</v>
      </c>
      <c r="M601" s="9" t="str">
        <f t="shared" si="0"/>
        <v>20%+</v>
      </c>
    </row>
    <row r="602">
      <c r="A602" s="10">
        <v>45104</v>
      </c>
      <c r="B602" s="9" t="s">
        <v>676</v>
      </c>
      <c r="C602" s="9" t="s">
        <v>14</v>
      </c>
      <c r="D602" s="9" t="s">
        <v>10</v>
      </c>
      <c r="E602" s="9" t="s">
        <v>22</v>
      </c>
      <c r="F602" s="9" t="s">
        <v>71</v>
      </c>
      <c r="G602" s="9">
        <v>377.72000000000003</v>
      </c>
      <c r="H602" s="9">
        <v>13</v>
      </c>
      <c r="I602" s="9">
        <v>4910.3599999999997</v>
      </c>
      <c r="J602" s="9">
        <v>0.029999999999999999</v>
      </c>
      <c r="K602" s="9">
        <v>623.32000000000005</v>
      </c>
      <c r="L602" s="9" t="s">
        <v>55</v>
      </c>
      <c r="M602" s="9" t="str">
        <f t="shared" si="0"/>
        <v>10-20%</v>
      </c>
    </row>
    <row r="603">
      <c r="A603" s="10">
        <v>44940</v>
      </c>
      <c r="B603" s="9" t="s">
        <v>677</v>
      </c>
      <c r="C603" s="9" t="s">
        <v>14</v>
      </c>
      <c r="D603" s="9" t="s">
        <v>10</v>
      </c>
      <c r="E603" s="9" t="s">
        <v>22</v>
      </c>
      <c r="F603" s="9" t="s">
        <v>54</v>
      </c>
      <c r="G603" s="9">
        <v>351.30000000000001</v>
      </c>
      <c r="H603" s="9">
        <v>8</v>
      </c>
      <c r="I603" s="9">
        <v>2810.4000000000001</v>
      </c>
      <c r="J603" s="9">
        <v>0.14999999999999999</v>
      </c>
      <c r="K603" s="9">
        <v>-35.560000000000002</v>
      </c>
      <c r="L603" s="9" t="s">
        <v>63</v>
      </c>
      <c r="M603" s="9" t="str">
        <f t="shared" si="0"/>
        <v>0-10%</v>
      </c>
    </row>
    <row r="604">
      <c r="A604" s="10">
        <v>45095</v>
      </c>
      <c r="B604" s="9" t="s">
        <v>678</v>
      </c>
      <c r="C604" s="9" t="s">
        <v>14</v>
      </c>
      <c r="D604" s="9" t="s">
        <v>8</v>
      </c>
      <c r="E604" s="9" t="s">
        <v>21</v>
      </c>
      <c r="F604" s="9" t="s">
        <v>88</v>
      </c>
      <c r="G604" s="9">
        <v>144.46000000000001</v>
      </c>
      <c r="H604" s="9">
        <v>6</v>
      </c>
      <c r="I604" s="9">
        <v>866.75999999999999</v>
      </c>
      <c r="J604" s="9">
        <v>0.23000000000000001</v>
      </c>
      <c r="K604" s="9">
        <v>-144.53</v>
      </c>
      <c r="L604" s="9" t="s">
        <v>55</v>
      </c>
      <c r="M604" s="9" t="str">
        <f t="shared" si="0"/>
        <v>10-20%</v>
      </c>
    </row>
    <row r="605">
      <c r="A605" s="10">
        <v>45236</v>
      </c>
      <c r="B605" s="9" t="s">
        <v>679</v>
      </c>
      <c r="C605" s="9" t="s">
        <v>15</v>
      </c>
      <c r="D605" s="9" t="s">
        <v>9</v>
      </c>
      <c r="E605" s="9" t="s">
        <v>20</v>
      </c>
      <c r="F605" s="9" t="s">
        <v>65</v>
      </c>
      <c r="G605" s="9">
        <v>106.28</v>
      </c>
      <c r="H605" s="9">
        <v>11</v>
      </c>
      <c r="I605" s="9">
        <v>1169.0799999999999</v>
      </c>
      <c r="J605" s="9">
        <v>0.11</v>
      </c>
      <c r="K605" s="9">
        <v>129.21000000000001</v>
      </c>
      <c r="L605" s="9" t="s">
        <v>58</v>
      </c>
      <c r="M605" s="9" t="str">
        <f t="shared" si="0"/>
        <v>20%+</v>
      </c>
    </row>
    <row r="606">
      <c r="A606" s="10">
        <v>45104</v>
      </c>
      <c r="B606" s="9" t="s">
        <v>680</v>
      </c>
      <c r="C606" s="9" t="s">
        <v>17</v>
      </c>
      <c r="D606" s="9" t="s">
        <v>10</v>
      </c>
      <c r="E606" s="9" t="s">
        <v>19</v>
      </c>
      <c r="F606" s="9" t="s">
        <v>60</v>
      </c>
      <c r="G606" s="9">
        <v>480.18000000000001</v>
      </c>
      <c r="H606" s="9">
        <v>14</v>
      </c>
      <c r="I606" s="9">
        <v>6722.5200000000004</v>
      </c>
      <c r="J606" s="9">
        <v>0.059999999999999998</v>
      </c>
      <c r="K606" s="9">
        <v>716.37</v>
      </c>
      <c r="L606" s="9" t="s">
        <v>72</v>
      </c>
      <c r="M606" s="9" t="str">
        <f t="shared" si="0"/>
        <v>10-20%</v>
      </c>
    </row>
    <row r="607">
      <c r="A607" s="10">
        <v>44971</v>
      </c>
      <c r="B607" s="9" t="s">
        <v>681</v>
      </c>
      <c r="C607" s="9" t="s">
        <v>16</v>
      </c>
      <c r="D607" s="9" t="s">
        <v>10</v>
      </c>
      <c r="E607" s="9" t="s">
        <v>21</v>
      </c>
      <c r="F607" s="9" t="s">
        <v>82</v>
      </c>
      <c r="G607" s="9">
        <v>490.99000000000001</v>
      </c>
      <c r="H607" s="9">
        <v>9</v>
      </c>
      <c r="I607" s="9">
        <v>4418.9099999999999</v>
      </c>
      <c r="J607" s="9">
        <v>0.11</v>
      </c>
      <c r="K607" s="9">
        <v>-183.47999999999999</v>
      </c>
      <c r="L607" s="9" t="s">
        <v>58</v>
      </c>
      <c r="M607" s="9" t="str">
        <f t="shared" si="0"/>
        <v>0-10%</v>
      </c>
    </row>
    <row r="608">
      <c r="A608" s="10">
        <v>44944</v>
      </c>
      <c r="B608" s="9" t="s">
        <v>682</v>
      </c>
      <c r="C608" s="9" t="s">
        <v>15</v>
      </c>
      <c r="D608" s="9" t="s">
        <v>8</v>
      </c>
      <c r="E608" s="9" t="s">
        <v>19</v>
      </c>
      <c r="F608" s="9" t="s">
        <v>62</v>
      </c>
      <c r="G608" s="9">
        <v>116.23999999999999</v>
      </c>
      <c r="H608" s="9">
        <v>3</v>
      </c>
      <c r="I608" s="9">
        <v>348.72000000000003</v>
      </c>
      <c r="J608" s="9">
        <v>0.070000000000000007</v>
      </c>
      <c r="K608" s="9">
        <v>49.020000000000003</v>
      </c>
      <c r="L608" s="9" t="s">
        <v>72</v>
      </c>
      <c r="M608" s="9" t="str">
        <f t="shared" si="0"/>
        <v>10-20%</v>
      </c>
    </row>
    <row r="609">
      <c r="A609" s="10">
        <v>45131</v>
      </c>
      <c r="B609" s="9" t="s">
        <v>683</v>
      </c>
      <c r="C609" s="9" t="s">
        <v>16</v>
      </c>
      <c r="D609" s="9" t="s">
        <v>8</v>
      </c>
      <c r="E609" s="9" t="s">
        <v>21</v>
      </c>
      <c r="F609" s="9" t="s">
        <v>82</v>
      </c>
      <c r="G609" s="9">
        <v>210.63</v>
      </c>
      <c r="H609" s="9">
        <v>14</v>
      </c>
      <c r="I609" s="9">
        <v>2948.8200000000002</v>
      </c>
      <c r="J609" s="9">
        <v>0.17999999999999999</v>
      </c>
      <c r="K609" s="9">
        <v>-175.21000000000001</v>
      </c>
      <c r="L609" s="9" t="s">
        <v>55</v>
      </c>
      <c r="M609" s="9" t="str">
        <f t="shared" si="0"/>
        <v>0-10%</v>
      </c>
    </row>
    <row r="610">
      <c r="A610" s="10">
        <v>44960</v>
      </c>
      <c r="B610" s="9" t="s">
        <v>684</v>
      </c>
      <c r="C610" s="9" t="s">
        <v>14</v>
      </c>
      <c r="D610" s="9" t="s">
        <v>12</v>
      </c>
      <c r="E610" s="9" t="s">
        <v>19</v>
      </c>
      <c r="F610" s="9" t="s">
        <v>60</v>
      </c>
      <c r="G610" s="9">
        <v>352.97000000000003</v>
      </c>
      <c r="H610" s="9">
        <v>11</v>
      </c>
      <c r="I610" s="9">
        <v>3882.6700000000001</v>
      </c>
      <c r="J610" s="9">
        <v>0.070000000000000007</v>
      </c>
      <c r="K610" s="9">
        <v>290.66000000000003</v>
      </c>
      <c r="L610" s="9" t="s">
        <v>55</v>
      </c>
      <c r="M610" s="9" t="str">
        <f t="shared" si="0"/>
        <v>10-20%</v>
      </c>
    </row>
    <row r="611">
      <c r="A611" s="10">
        <v>45120</v>
      </c>
      <c r="B611" s="9" t="s">
        <v>685</v>
      </c>
      <c r="C611" s="9" t="s">
        <v>17</v>
      </c>
      <c r="D611" s="9" t="s">
        <v>10</v>
      </c>
      <c r="E611" s="9" t="s">
        <v>21</v>
      </c>
      <c r="F611" s="9" t="s">
        <v>76</v>
      </c>
      <c r="G611" s="9">
        <v>397.67000000000002</v>
      </c>
      <c r="H611" s="9">
        <v>15</v>
      </c>
      <c r="I611" s="9">
        <v>5965.0500000000002</v>
      </c>
      <c r="J611" s="9">
        <v>0.25</v>
      </c>
      <c r="K611" s="9">
        <v>-352.51999999999998</v>
      </c>
      <c r="L611" s="9" t="s">
        <v>55</v>
      </c>
      <c r="M611" s="9" t="str">
        <f t="shared" si="0"/>
        <v>0-10%</v>
      </c>
    </row>
    <row r="612">
      <c r="A612" s="10">
        <v>45053</v>
      </c>
      <c r="B612" s="9" t="s">
        <v>686</v>
      </c>
      <c r="C612" s="9" t="s">
        <v>14</v>
      </c>
      <c r="D612" s="9" t="s">
        <v>8</v>
      </c>
      <c r="E612" s="9" t="s">
        <v>19</v>
      </c>
      <c r="F612" s="9" t="s">
        <v>98</v>
      </c>
      <c r="G612" s="9">
        <v>60.850000000000001</v>
      </c>
      <c r="H612" s="9">
        <v>8</v>
      </c>
      <c r="I612" s="9">
        <v>486.80000000000001</v>
      </c>
      <c r="J612" s="9">
        <v>0.20999999999999999</v>
      </c>
      <c r="K612" s="9">
        <v>-12.41</v>
      </c>
      <c r="L612" s="9" t="s">
        <v>72</v>
      </c>
      <c r="M612" s="9" t="str">
        <f t="shared" si="0"/>
        <v>20%+</v>
      </c>
    </row>
    <row r="613">
      <c r="A613" s="10">
        <v>45151</v>
      </c>
      <c r="B613" s="9" t="s">
        <v>687</v>
      </c>
      <c r="C613" s="9" t="s">
        <v>16</v>
      </c>
      <c r="D613" s="9" t="s">
        <v>10</v>
      </c>
      <c r="E613" s="9" t="s">
        <v>20</v>
      </c>
      <c r="F613" s="9" t="s">
        <v>80</v>
      </c>
      <c r="G613" s="9">
        <v>360.93000000000001</v>
      </c>
      <c r="H613" s="9">
        <v>14</v>
      </c>
      <c r="I613" s="9">
        <v>5053.0200000000004</v>
      </c>
      <c r="J613" s="9">
        <v>0.14000000000000001</v>
      </c>
      <c r="K613" s="9">
        <v>-350.95999999999998</v>
      </c>
      <c r="L613" s="9" t="s">
        <v>55</v>
      </c>
      <c r="M613" s="9" t="str">
        <f t="shared" si="0"/>
        <v>20%+</v>
      </c>
    </row>
    <row r="614">
      <c r="A614" s="10">
        <v>44943</v>
      </c>
      <c r="B614" s="9" t="s">
        <v>688</v>
      </c>
      <c r="C614" s="9" t="s">
        <v>17</v>
      </c>
      <c r="D614" s="9" t="s">
        <v>10</v>
      </c>
      <c r="E614" s="9" t="s">
        <v>22</v>
      </c>
      <c r="F614" s="9" t="s">
        <v>54</v>
      </c>
      <c r="G614" s="9">
        <v>106.64</v>
      </c>
      <c r="H614" s="9">
        <v>5</v>
      </c>
      <c r="I614" s="9">
        <v>533.20000000000005</v>
      </c>
      <c r="J614" s="9">
        <v>0.01</v>
      </c>
      <c r="K614" s="9">
        <v>95.629999999999995</v>
      </c>
      <c r="L614" s="9" t="s">
        <v>58</v>
      </c>
      <c r="M614" s="9" t="str">
        <f t="shared" si="0"/>
        <v>10-20%</v>
      </c>
    </row>
    <row r="615">
      <c r="A615" s="10">
        <v>44932</v>
      </c>
      <c r="B615" s="9" t="s">
        <v>689</v>
      </c>
      <c r="C615" s="9" t="s">
        <v>15</v>
      </c>
      <c r="D615" s="9" t="s">
        <v>9</v>
      </c>
      <c r="E615" s="9" t="s">
        <v>21</v>
      </c>
      <c r="F615" s="9" t="s">
        <v>82</v>
      </c>
      <c r="G615" s="9">
        <v>82.219999999999999</v>
      </c>
      <c r="H615" s="9">
        <v>1</v>
      </c>
      <c r="I615" s="9">
        <v>82.219999999999999</v>
      </c>
      <c r="J615" s="9">
        <v>0</v>
      </c>
      <c r="K615" s="9">
        <v>17.68</v>
      </c>
      <c r="L615" s="9" t="s">
        <v>72</v>
      </c>
      <c r="M615" s="9" t="str">
        <f t="shared" si="0"/>
        <v>0-10%</v>
      </c>
    </row>
    <row r="616">
      <c r="A616" s="10">
        <v>45280</v>
      </c>
      <c r="B616" s="9" t="s">
        <v>690</v>
      </c>
      <c r="C616" s="9" t="s">
        <v>17</v>
      </c>
      <c r="D616" s="9" t="s">
        <v>10</v>
      </c>
      <c r="E616" s="9" t="s">
        <v>22</v>
      </c>
      <c r="F616" s="9" t="s">
        <v>84</v>
      </c>
      <c r="G616" s="9">
        <v>195.77000000000001</v>
      </c>
      <c r="H616" s="9">
        <v>10</v>
      </c>
      <c r="I616" s="9">
        <v>1957.7</v>
      </c>
      <c r="J616" s="9">
        <v>0.02</v>
      </c>
      <c r="K616" s="9">
        <v>292.49000000000001</v>
      </c>
      <c r="L616" s="9" t="s">
        <v>72</v>
      </c>
      <c r="M616" s="9" t="str">
        <f t="shared" si="0"/>
        <v>0-10%</v>
      </c>
    </row>
    <row r="617">
      <c r="A617" s="10">
        <v>44978</v>
      </c>
      <c r="B617" s="9" t="s">
        <v>691</v>
      </c>
      <c r="C617" s="9" t="s">
        <v>14</v>
      </c>
      <c r="D617" s="9" t="s">
        <v>12</v>
      </c>
      <c r="E617" s="9" t="s">
        <v>19</v>
      </c>
      <c r="F617" s="9" t="s">
        <v>60</v>
      </c>
      <c r="G617" s="9">
        <v>129.44999999999999</v>
      </c>
      <c r="H617" s="9">
        <v>2</v>
      </c>
      <c r="I617" s="9">
        <v>258.89999999999998</v>
      </c>
      <c r="J617" s="9">
        <v>0.11</v>
      </c>
      <c r="K617" s="9">
        <v>0.75</v>
      </c>
      <c r="L617" s="9" t="s">
        <v>63</v>
      </c>
      <c r="M617" s="9" t="str">
        <f t="shared" si="0"/>
        <v>0-10%</v>
      </c>
    </row>
    <row r="618">
      <c r="A618" s="10">
        <v>44961</v>
      </c>
      <c r="B618" s="9" t="s">
        <v>692</v>
      </c>
      <c r="C618" s="9" t="s">
        <v>17</v>
      </c>
      <c r="D618" s="9" t="s">
        <v>8</v>
      </c>
      <c r="E618" s="9" t="s">
        <v>21</v>
      </c>
      <c r="F618" s="9" t="s">
        <v>96</v>
      </c>
      <c r="G618" s="9">
        <v>309.27999999999997</v>
      </c>
      <c r="H618" s="9">
        <v>5</v>
      </c>
      <c r="I618" s="9">
        <v>1546.4000000000001</v>
      </c>
      <c r="J618" s="9">
        <v>0.27000000000000002</v>
      </c>
      <c r="K618" s="9">
        <v>-169.90000000000001</v>
      </c>
      <c r="L618" s="9" t="s">
        <v>55</v>
      </c>
      <c r="M618" s="9" t="str">
        <f t="shared" si="0"/>
        <v>10-20%</v>
      </c>
    </row>
    <row r="619">
      <c r="A619" s="10">
        <v>45166</v>
      </c>
      <c r="B619" s="9" t="s">
        <v>693</v>
      </c>
      <c r="C619" s="9" t="s">
        <v>15</v>
      </c>
      <c r="D619" s="9" t="s">
        <v>9</v>
      </c>
      <c r="E619" s="9" t="s">
        <v>20</v>
      </c>
      <c r="F619" s="9" t="s">
        <v>80</v>
      </c>
      <c r="G619" s="9">
        <v>119.7</v>
      </c>
      <c r="H619" s="9">
        <v>8</v>
      </c>
      <c r="I619" s="9">
        <v>957.60000000000002</v>
      </c>
      <c r="J619" s="9">
        <v>0.040000000000000001</v>
      </c>
      <c r="K619" s="9">
        <v>158.61000000000001</v>
      </c>
      <c r="L619" s="9" t="s">
        <v>58</v>
      </c>
      <c r="M619" s="9" t="str">
        <f t="shared" si="0"/>
        <v>20%+</v>
      </c>
    </row>
    <row r="620">
      <c r="A620" s="10">
        <v>45062</v>
      </c>
      <c r="B620" s="9" t="s">
        <v>694</v>
      </c>
      <c r="C620" s="9" t="s">
        <v>15</v>
      </c>
      <c r="D620" s="9" t="s">
        <v>9</v>
      </c>
      <c r="E620" s="9" t="s">
        <v>19</v>
      </c>
      <c r="F620" s="9" t="s">
        <v>67</v>
      </c>
      <c r="G620" s="9">
        <v>450.31999999999999</v>
      </c>
      <c r="H620" s="9">
        <v>15</v>
      </c>
      <c r="I620" s="9">
        <v>6754.8000000000002</v>
      </c>
      <c r="J620" s="9">
        <v>0.02</v>
      </c>
      <c r="K620" s="9">
        <v>1302.7</v>
      </c>
      <c r="L620" s="9" t="s">
        <v>55</v>
      </c>
      <c r="M620" s="9" t="str">
        <f t="shared" si="0"/>
        <v>0-10%</v>
      </c>
    </row>
    <row r="621">
      <c r="A621" s="10">
        <v>45072</v>
      </c>
      <c r="B621" s="9" t="s">
        <v>695</v>
      </c>
      <c r="C621" s="9" t="s">
        <v>15</v>
      </c>
      <c r="D621" s="9" t="s">
        <v>12</v>
      </c>
      <c r="E621" s="9" t="s">
        <v>21</v>
      </c>
      <c r="F621" s="9" t="s">
        <v>96</v>
      </c>
      <c r="G621" s="9">
        <v>333.75999999999999</v>
      </c>
      <c r="H621" s="9">
        <v>11</v>
      </c>
      <c r="I621" s="9">
        <v>3671.3600000000001</v>
      </c>
      <c r="J621" s="9">
        <v>0.23999999999999999</v>
      </c>
      <c r="K621" s="9">
        <v>-191.81</v>
      </c>
      <c r="L621" s="9" t="s">
        <v>58</v>
      </c>
      <c r="M621" s="9" t="str">
        <f t="shared" si="0"/>
        <v>0-10%</v>
      </c>
    </row>
    <row r="622">
      <c r="A622" s="10">
        <v>44946</v>
      </c>
      <c r="B622" s="9" t="s">
        <v>696</v>
      </c>
      <c r="C622" s="9" t="s">
        <v>17</v>
      </c>
      <c r="D622" s="9" t="s">
        <v>12</v>
      </c>
      <c r="E622" s="9" t="s">
        <v>22</v>
      </c>
      <c r="F622" s="9" t="s">
        <v>110</v>
      </c>
      <c r="G622" s="9">
        <v>483.77999999999997</v>
      </c>
      <c r="H622" s="9">
        <v>11</v>
      </c>
      <c r="I622" s="9">
        <v>5321.5799999999999</v>
      </c>
      <c r="J622" s="9">
        <v>0.02</v>
      </c>
      <c r="K622" s="9">
        <v>1094.4000000000001</v>
      </c>
      <c r="L622" s="9" t="s">
        <v>63</v>
      </c>
      <c r="M622" s="9" t="str">
        <f t="shared" si="0"/>
        <v>20%+</v>
      </c>
    </row>
    <row r="623">
      <c r="A623" s="10">
        <v>45109</v>
      </c>
      <c r="B623" s="9" t="s">
        <v>697</v>
      </c>
      <c r="C623" s="9" t="s">
        <v>16</v>
      </c>
      <c r="D623" s="9" t="s">
        <v>10</v>
      </c>
      <c r="E623" s="9" t="s">
        <v>21</v>
      </c>
      <c r="F623" s="9" t="s">
        <v>78</v>
      </c>
      <c r="G623" s="9">
        <v>169.93000000000001</v>
      </c>
      <c r="H623" s="9">
        <v>14</v>
      </c>
      <c r="I623" s="9">
        <v>2379.02</v>
      </c>
      <c r="J623" s="9">
        <v>0.11</v>
      </c>
      <c r="K623" s="9">
        <v>266.06999999999999</v>
      </c>
      <c r="L623" s="9" t="s">
        <v>63</v>
      </c>
      <c r="M623" s="9" t="str">
        <f t="shared" si="0"/>
        <v>0-10%</v>
      </c>
    </row>
    <row r="624">
      <c r="A624" s="10">
        <v>45177</v>
      </c>
      <c r="B624" s="9" t="s">
        <v>698</v>
      </c>
      <c r="C624" s="9" t="s">
        <v>14</v>
      </c>
      <c r="D624" s="9" t="s">
        <v>8</v>
      </c>
      <c r="E624" s="9" t="s">
        <v>19</v>
      </c>
      <c r="F624" s="9" t="s">
        <v>98</v>
      </c>
      <c r="G624" s="9">
        <v>12.859999999999999</v>
      </c>
      <c r="H624" s="9">
        <v>1</v>
      </c>
      <c r="I624" s="9">
        <v>12.859999999999999</v>
      </c>
      <c r="J624" s="9">
        <v>0</v>
      </c>
      <c r="K624" s="9">
        <v>0.68000000000000005</v>
      </c>
      <c r="L624" s="9" t="s">
        <v>72</v>
      </c>
      <c r="M624" s="9" t="str">
        <f t="shared" si="0"/>
        <v>10-20%</v>
      </c>
    </row>
    <row r="625">
      <c r="A625" s="10">
        <v>45202</v>
      </c>
      <c r="B625" s="9" t="s">
        <v>699</v>
      </c>
      <c r="C625" s="9" t="s">
        <v>16</v>
      </c>
      <c r="D625" s="9" t="s">
        <v>12</v>
      </c>
      <c r="E625" s="9" t="s">
        <v>22</v>
      </c>
      <c r="F625" s="9" t="s">
        <v>71</v>
      </c>
      <c r="G625" s="9">
        <v>473.27999999999997</v>
      </c>
      <c r="H625" s="9">
        <v>8</v>
      </c>
      <c r="I625" s="9">
        <v>3786.2399999999998</v>
      </c>
      <c r="J625" s="9">
        <v>0.20999999999999999</v>
      </c>
      <c r="K625" s="9">
        <v>-311.87</v>
      </c>
      <c r="L625" s="9" t="s">
        <v>55</v>
      </c>
      <c r="M625" s="9" t="str">
        <f t="shared" si="0"/>
        <v>0-10%</v>
      </c>
    </row>
    <row r="626">
      <c r="A626" s="10">
        <v>45197</v>
      </c>
      <c r="B626" s="9" t="s">
        <v>700</v>
      </c>
      <c r="C626" s="9" t="s">
        <v>14</v>
      </c>
      <c r="D626" s="9" t="s">
        <v>12</v>
      </c>
      <c r="E626" s="9" t="s">
        <v>22</v>
      </c>
      <c r="F626" s="9" t="s">
        <v>71</v>
      </c>
      <c r="G626" s="9">
        <v>89.579999999999998</v>
      </c>
      <c r="H626" s="9">
        <v>11</v>
      </c>
      <c r="I626" s="9">
        <v>985.38</v>
      </c>
      <c r="J626" s="9">
        <v>0.20000000000000001</v>
      </c>
      <c r="K626" s="9">
        <v>12.460000000000001</v>
      </c>
      <c r="L626" s="9" t="s">
        <v>58</v>
      </c>
      <c r="M626" s="9" t="str">
        <f t="shared" si="0"/>
        <v>20%+</v>
      </c>
    </row>
    <row r="627">
      <c r="A627" s="10">
        <v>45120</v>
      </c>
      <c r="B627" s="9" t="s">
        <v>701</v>
      </c>
      <c r="C627" s="9" t="s">
        <v>15</v>
      </c>
      <c r="D627" s="9" t="s">
        <v>9</v>
      </c>
      <c r="E627" s="9" t="s">
        <v>20</v>
      </c>
      <c r="F627" s="9" t="s">
        <v>80</v>
      </c>
      <c r="G627" s="9">
        <v>339.88</v>
      </c>
      <c r="H627" s="9">
        <v>6</v>
      </c>
      <c r="I627" s="9">
        <v>2039.28</v>
      </c>
      <c r="J627" s="9">
        <v>0.070000000000000007</v>
      </c>
      <c r="K627" s="9">
        <v>301.31</v>
      </c>
      <c r="L627" s="9" t="s">
        <v>58</v>
      </c>
      <c r="M627" s="9" t="str">
        <f t="shared" si="0"/>
        <v>10-20%</v>
      </c>
    </row>
    <row r="628">
      <c r="A628" s="10">
        <v>45256</v>
      </c>
      <c r="B628" s="9" t="s">
        <v>702</v>
      </c>
      <c r="C628" s="9" t="s">
        <v>15</v>
      </c>
      <c r="D628" s="9" t="s">
        <v>8</v>
      </c>
      <c r="E628" s="9" t="s">
        <v>21</v>
      </c>
      <c r="F628" s="9" t="s">
        <v>82</v>
      </c>
      <c r="G628" s="9">
        <v>138.53</v>
      </c>
      <c r="H628" s="9">
        <v>8</v>
      </c>
      <c r="I628" s="9">
        <v>1108.24</v>
      </c>
      <c r="J628" s="9">
        <v>0.26000000000000001</v>
      </c>
      <c r="K628" s="9">
        <v>-35.030000000000001</v>
      </c>
      <c r="L628" s="9" t="s">
        <v>55</v>
      </c>
      <c r="M628" s="9" t="str">
        <f t="shared" si="0"/>
        <v>0-10%</v>
      </c>
    </row>
    <row r="629">
      <c r="A629" s="10">
        <v>45098</v>
      </c>
      <c r="B629" s="9" t="s">
        <v>703</v>
      </c>
      <c r="C629" s="9" t="s">
        <v>17</v>
      </c>
      <c r="D629" s="9" t="s">
        <v>9</v>
      </c>
      <c r="E629" s="9" t="s">
        <v>22</v>
      </c>
      <c r="F629" s="9" t="s">
        <v>110</v>
      </c>
      <c r="G629" s="9">
        <v>74.640000000000001</v>
      </c>
      <c r="H629" s="9">
        <v>13</v>
      </c>
      <c r="I629" s="9">
        <v>970.32000000000005</v>
      </c>
      <c r="J629" s="9">
        <v>0.11</v>
      </c>
      <c r="K629" s="9">
        <v>-37.280000000000001</v>
      </c>
      <c r="L629" s="9" t="s">
        <v>72</v>
      </c>
      <c r="M629" s="9" t="str">
        <f t="shared" si="0"/>
        <v>20%+</v>
      </c>
    </row>
    <row r="630">
      <c r="A630" s="10">
        <v>45234</v>
      </c>
      <c r="B630" s="9" t="s">
        <v>704</v>
      </c>
      <c r="C630" s="9" t="s">
        <v>14</v>
      </c>
      <c r="D630" s="9" t="s">
        <v>9</v>
      </c>
      <c r="E630" s="9" t="s">
        <v>19</v>
      </c>
      <c r="F630" s="9" t="s">
        <v>57</v>
      </c>
      <c r="G630" s="9">
        <v>194.69999999999999</v>
      </c>
      <c r="H630" s="9">
        <v>8</v>
      </c>
      <c r="I630" s="9">
        <v>1557.5999999999999</v>
      </c>
      <c r="J630" s="9">
        <v>0.17999999999999999</v>
      </c>
      <c r="K630" s="9">
        <v>-72.629999999999995</v>
      </c>
      <c r="L630" s="9" t="s">
        <v>58</v>
      </c>
      <c r="M630" s="9" t="str">
        <f t="shared" si="0"/>
        <v>10-20%</v>
      </c>
    </row>
    <row r="631">
      <c r="A631" s="10">
        <v>45221</v>
      </c>
      <c r="B631" s="9" t="s">
        <v>705</v>
      </c>
      <c r="C631" s="9" t="s">
        <v>14</v>
      </c>
      <c r="D631" s="9" t="s">
        <v>10</v>
      </c>
      <c r="E631" s="9" t="s">
        <v>21</v>
      </c>
      <c r="F631" s="9" t="s">
        <v>78</v>
      </c>
      <c r="G631" s="9">
        <v>141.72999999999999</v>
      </c>
      <c r="H631" s="9">
        <v>3</v>
      </c>
      <c r="I631" s="9">
        <v>425.19</v>
      </c>
      <c r="J631" s="9">
        <v>0.27000000000000002</v>
      </c>
      <c r="K631" s="9">
        <v>-19.73</v>
      </c>
      <c r="L631" s="9" t="s">
        <v>55</v>
      </c>
      <c r="M631" s="9" t="str">
        <f t="shared" si="0"/>
        <v>10-20%</v>
      </c>
    </row>
    <row r="632">
      <c r="A632" s="10">
        <v>45059</v>
      </c>
      <c r="B632" s="9" t="s">
        <v>706</v>
      </c>
      <c r="C632" s="9" t="s">
        <v>14</v>
      </c>
      <c r="D632" s="9" t="s">
        <v>8</v>
      </c>
      <c r="E632" s="9" t="s">
        <v>19</v>
      </c>
      <c r="F632" s="9" t="s">
        <v>60</v>
      </c>
      <c r="G632" s="9">
        <v>309.64999999999998</v>
      </c>
      <c r="H632" s="9">
        <v>6</v>
      </c>
      <c r="I632" s="9">
        <v>1857.9000000000001</v>
      </c>
      <c r="J632" s="9">
        <v>0.10000000000000001</v>
      </c>
      <c r="K632" s="9">
        <v>111.06</v>
      </c>
      <c r="L632" s="9" t="s">
        <v>55</v>
      </c>
      <c r="M632" s="9" t="str">
        <f t="shared" si="0"/>
        <v>20%+</v>
      </c>
    </row>
    <row r="633">
      <c r="A633" s="10">
        <v>45059</v>
      </c>
      <c r="B633" s="9" t="s">
        <v>707</v>
      </c>
      <c r="C633" s="9" t="s">
        <v>14</v>
      </c>
      <c r="D633" s="9" t="s">
        <v>8</v>
      </c>
      <c r="E633" s="9" t="s">
        <v>21</v>
      </c>
      <c r="F633" s="9" t="s">
        <v>96</v>
      </c>
      <c r="G633" s="9">
        <v>223.5</v>
      </c>
      <c r="H633" s="9">
        <v>8</v>
      </c>
      <c r="I633" s="9">
        <v>1788</v>
      </c>
      <c r="J633" s="9">
        <v>0.28000000000000003</v>
      </c>
      <c r="K633" s="9">
        <v>-242.62</v>
      </c>
      <c r="L633" s="9" t="s">
        <v>58</v>
      </c>
      <c r="M633" s="9" t="str">
        <f t="shared" si="0"/>
        <v>0-10%</v>
      </c>
    </row>
    <row r="634">
      <c r="A634" s="10">
        <v>44956</v>
      </c>
      <c r="B634" s="9" t="s">
        <v>708</v>
      </c>
      <c r="C634" s="9" t="s">
        <v>16</v>
      </c>
      <c r="D634" s="9" t="s">
        <v>11</v>
      </c>
      <c r="E634" s="9" t="s">
        <v>20</v>
      </c>
      <c r="F634" s="9" t="s">
        <v>69</v>
      </c>
      <c r="G634" s="9">
        <v>234.5</v>
      </c>
      <c r="H634" s="9">
        <v>2</v>
      </c>
      <c r="I634" s="9">
        <v>469</v>
      </c>
      <c r="J634" s="9">
        <v>0.14999999999999999</v>
      </c>
      <c r="K634" s="9">
        <v>38.340000000000003</v>
      </c>
      <c r="L634" s="9" t="s">
        <v>55</v>
      </c>
      <c r="M634" s="9" t="str">
        <f t="shared" si="0"/>
        <v>20%+</v>
      </c>
    </row>
    <row r="635">
      <c r="A635" s="10">
        <v>45128</v>
      </c>
      <c r="B635" s="9" t="s">
        <v>709</v>
      </c>
      <c r="C635" s="9" t="s">
        <v>14</v>
      </c>
      <c r="D635" s="9" t="s">
        <v>9</v>
      </c>
      <c r="E635" s="9" t="s">
        <v>21</v>
      </c>
      <c r="F635" s="9" t="s">
        <v>88</v>
      </c>
      <c r="G635" s="9">
        <v>490.61000000000001</v>
      </c>
      <c r="H635" s="9">
        <v>6</v>
      </c>
      <c r="I635" s="9">
        <v>2943.6599999999999</v>
      </c>
      <c r="J635" s="9">
        <v>0.17000000000000001</v>
      </c>
      <c r="K635" s="9">
        <v>-88.700000000000003</v>
      </c>
      <c r="L635" s="9" t="s">
        <v>72</v>
      </c>
      <c r="M635" s="9" t="str">
        <f t="shared" si="0"/>
        <v>10-20%</v>
      </c>
    </row>
    <row r="636">
      <c r="A636" s="10">
        <v>45281</v>
      </c>
      <c r="B636" s="9" t="s">
        <v>710</v>
      </c>
      <c r="C636" s="9" t="s">
        <v>17</v>
      </c>
      <c r="D636" s="9" t="s">
        <v>12</v>
      </c>
      <c r="E636" s="9" t="s">
        <v>19</v>
      </c>
      <c r="F636" s="9" t="s">
        <v>57</v>
      </c>
      <c r="G636" s="9">
        <v>268.92000000000002</v>
      </c>
      <c r="H636" s="9">
        <v>13</v>
      </c>
      <c r="I636" s="9">
        <v>3495.96</v>
      </c>
      <c r="J636" s="9">
        <v>0.10000000000000001</v>
      </c>
      <c r="K636" s="9">
        <v>180.66999999999999</v>
      </c>
      <c r="L636" s="9" t="s">
        <v>72</v>
      </c>
      <c r="M636" s="9" t="str">
        <f t="shared" si="0"/>
        <v>10-20%</v>
      </c>
    </row>
    <row r="637">
      <c r="A637" s="10">
        <v>44994</v>
      </c>
      <c r="B637" s="9" t="s">
        <v>711</v>
      </c>
      <c r="C637" s="9" t="s">
        <v>15</v>
      </c>
      <c r="D637" s="9" t="s">
        <v>12</v>
      </c>
      <c r="E637" s="9" t="s">
        <v>22</v>
      </c>
      <c r="F637" s="9" t="s">
        <v>125</v>
      </c>
      <c r="G637" s="9">
        <v>485.39999999999998</v>
      </c>
      <c r="H637" s="9">
        <v>15</v>
      </c>
      <c r="I637" s="9">
        <v>7281</v>
      </c>
      <c r="J637" s="9">
        <v>0.13</v>
      </c>
      <c r="K637" s="9">
        <v>357.42000000000002</v>
      </c>
      <c r="L637" s="9" t="s">
        <v>58</v>
      </c>
      <c r="M637" s="9" t="str">
        <f t="shared" si="0"/>
        <v>0-10%</v>
      </c>
    </row>
    <row r="638">
      <c r="A638" s="10">
        <v>45165</v>
      </c>
      <c r="B638" s="9" t="s">
        <v>712</v>
      </c>
      <c r="C638" s="9" t="s">
        <v>15</v>
      </c>
      <c r="D638" s="9" t="s">
        <v>10</v>
      </c>
      <c r="E638" s="9" t="s">
        <v>20</v>
      </c>
      <c r="F638" s="9" t="s">
        <v>69</v>
      </c>
      <c r="G638" s="9">
        <v>264.38</v>
      </c>
      <c r="H638" s="9">
        <v>11</v>
      </c>
      <c r="I638" s="9">
        <v>2908.1799999999998</v>
      </c>
      <c r="J638" s="9">
        <v>0.070000000000000007</v>
      </c>
      <c r="K638" s="9">
        <v>140.19999999999999</v>
      </c>
      <c r="L638" s="9" t="s">
        <v>72</v>
      </c>
      <c r="M638" s="9" t="str">
        <f t="shared" si="0"/>
        <v>10-20%</v>
      </c>
    </row>
    <row r="639">
      <c r="A639" s="10">
        <v>45085</v>
      </c>
      <c r="B639" s="9" t="s">
        <v>713</v>
      </c>
      <c r="C639" s="9" t="s">
        <v>17</v>
      </c>
      <c r="D639" s="9" t="s">
        <v>10</v>
      </c>
      <c r="E639" s="9" t="s">
        <v>20</v>
      </c>
      <c r="F639" s="9" t="s">
        <v>101</v>
      </c>
      <c r="G639" s="9">
        <v>452.86000000000001</v>
      </c>
      <c r="H639" s="9">
        <v>10</v>
      </c>
      <c r="I639" s="9">
        <v>4528.6000000000004</v>
      </c>
      <c r="J639" s="9">
        <v>0.059999999999999998</v>
      </c>
      <c r="K639" s="9">
        <v>714.44000000000005</v>
      </c>
      <c r="L639" s="9" t="s">
        <v>55</v>
      </c>
      <c r="M639" s="9" t="str">
        <f t="shared" si="0"/>
        <v>0-10%</v>
      </c>
    </row>
    <row r="640">
      <c r="A640" s="10">
        <v>45233</v>
      </c>
      <c r="B640" s="9" t="s">
        <v>714</v>
      </c>
      <c r="C640" s="9" t="s">
        <v>16</v>
      </c>
      <c r="D640" s="9" t="s">
        <v>9</v>
      </c>
      <c r="E640" s="9" t="s">
        <v>20</v>
      </c>
      <c r="F640" s="9" t="s">
        <v>74</v>
      </c>
      <c r="G640" s="9">
        <v>137.36000000000001</v>
      </c>
      <c r="H640" s="9">
        <v>4</v>
      </c>
      <c r="I640" s="9">
        <v>549.44000000000005</v>
      </c>
      <c r="J640" s="9">
        <v>0.040000000000000001</v>
      </c>
      <c r="K640" s="9">
        <v>26.09</v>
      </c>
      <c r="L640" s="9" t="s">
        <v>55</v>
      </c>
      <c r="M640" s="9" t="str">
        <f t="shared" si="0"/>
        <v>0-10%</v>
      </c>
    </row>
    <row r="641">
      <c r="A641" s="10">
        <v>45040</v>
      </c>
      <c r="B641" s="9" t="s">
        <v>715</v>
      </c>
      <c r="C641" s="9" t="s">
        <v>14</v>
      </c>
      <c r="D641" s="9" t="s">
        <v>11</v>
      </c>
      <c r="E641" s="9" t="s">
        <v>20</v>
      </c>
      <c r="F641" s="9" t="s">
        <v>69</v>
      </c>
      <c r="G641" s="9">
        <v>154.28</v>
      </c>
      <c r="H641" s="9">
        <v>13</v>
      </c>
      <c r="I641" s="9">
        <v>2005.6400000000001</v>
      </c>
      <c r="J641" s="9">
        <v>0.050000000000000003</v>
      </c>
      <c r="K641" s="9">
        <v>28.989999999999998</v>
      </c>
      <c r="L641" s="9" t="s">
        <v>58</v>
      </c>
      <c r="M641" s="9" t="str">
        <f t="shared" si="0"/>
        <v>0-10%</v>
      </c>
    </row>
    <row r="642">
      <c r="A642" s="10">
        <v>45193</v>
      </c>
      <c r="B642" s="9" t="s">
        <v>716</v>
      </c>
      <c r="C642" s="9" t="s">
        <v>14</v>
      </c>
      <c r="D642" s="9" t="s">
        <v>9</v>
      </c>
      <c r="E642" s="9" t="s">
        <v>22</v>
      </c>
      <c r="F642" s="9" t="s">
        <v>71</v>
      </c>
      <c r="G642" s="9">
        <v>200.47999999999999</v>
      </c>
      <c r="H642" s="9">
        <v>4</v>
      </c>
      <c r="I642" s="9">
        <v>801.91999999999996</v>
      </c>
      <c r="J642" s="9">
        <v>0.22</v>
      </c>
      <c r="K642" s="9">
        <v>5.6600000000000001</v>
      </c>
      <c r="L642" s="9" t="s">
        <v>58</v>
      </c>
      <c r="M642" s="9" t="str">
        <f t="shared" si="0"/>
        <v>0-10%</v>
      </c>
    </row>
    <row r="643">
      <c r="A643" s="10">
        <v>45261</v>
      </c>
      <c r="B643" s="9" t="s">
        <v>717</v>
      </c>
      <c r="C643" s="9" t="s">
        <v>15</v>
      </c>
      <c r="D643" s="9" t="s">
        <v>9</v>
      </c>
      <c r="E643" s="9" t="s">
        <v>20</v>
      </c>
      <c r="F643" s="9" t="s">
        <v>101</v>
      </c>
      <c r="G643" s="9">
        <v>275.25</v>
      </c>
      <c r="H643" s="9">
        <v>12</v>
      </c>
      <c r="I643" s="9">
        <v>3303</v>
      </c>
      <c r="J643" s="9">
        <v>0.029999999999999999</v>
      </c>
      <c r="K643" s="9">
        <v>477.37</v>
      </c>
      <c r="L643" s="9" t="s">
        <v>72</v>
      </c>
      <c r="M643" s="9" t="str">
        <f t="shared" si="0"/>
        <v>20%+</v>
      </c>
    </row>
    <row r="644">
      <c r="A644" s="10">
        <v>45114</v>
      </c>
      <c r="B644" s="9" t="s">
        <v>718</v>
      </c>
      <c r="C644" s="9" t="s">
        <v>16</v>
      </c>
      <c r="D644" s="9" t="s">
        <v>8</v>
      </c>
      <c r="E644" s="9" t="s">
        <v>20</v>
      </c>
      <c r="F644" s="9" t="s">
        <v>74</v>
      </c>
      <c r="G644" s="9">
        <v>48.909999999999997</v>
      </c>
      <c r="H644" s="9">
        <v>5</v>
      </c>
      <c r="I644" s="9">
        <v>244.55000000000001</v>
      </c>
      <c r="J644" s="9">
        <v>0.29999999999999999</v>
      </c>
      <c r="K644" s="9">
        <v>-57.920000000000002</v>
      </c>
      <c r="L644" s="9" t="s">
        <v>58</v>
      </c>
      <c r="M644" s="9" t="str">
        <f t="shared" si="0"/>
        <v>0-10%</v>
      </c>
    </row>
    <row r="645">
      <c r="A645" s="10">
        <v>45105</v>
      </c>
      <c r="B645" s="9" t="s">
        <v>719</v>
      </c>
      <c r="C645" s="9" t="s">
        <v>14</v>
      </c>
      <c r="D645" s="9" t="s">
        <v>9</v>
      </c>
      <c r="E645" s="9" t="s">
        <v>20</v>
      </c>
      <c r="F645" s="9" t="s">
        <v>65</v>
      </c>
      <c r="G645" s="9">
        <v>480.05000000000001</v>
      </c>
      <c r="H645" s="9">
        <v>15</v>
      </c>
      <c r="I645" s="9">
        <v>7200.75</v>
      </c>
      <c r="J645" s="9">
        <v>0.20999999999999999</v>
      </c>
      <c r="K645" s="9">
        <v>-39.159999999999997</v>
      </c>
      <c r="L645" s="9" t="s">
        <v>72</v>
      </c>
      <c r="M645" s="9" t="str">
        <f t="shared" si="0"/>
        <v>20%+</v>
      </c>
    </row>
    <row r="646">
      <c r="A646" s="10">
        <v>45079</v>
      </c>
      <c r="B646" s="9" t="s">
        <v>720</v>
      </c>
      <c r="C646" s="9" t="s">
        <v>14</v>
      </c>
      <c r="D646" s="9" t="s">
        <v>10</v>
      </c>
      <c r="E646" s="9" t="s">
        <v>21</v>
      </c>
      <c r="F646" s="9" t="s">
        <v>96</v>
      </c>
      <c r="G646" s="9">
        <v>210.90000000000001</v>
      </c>
      <c r="H646" s="9">
        <v>4</v>
      </c>
      <c r="I646" s="9">
        <v>843.60000000000002</v>
      </c>
      <c r="J646" s="9">
        <v>0.059999999999999998</v>
      </c>
      <c r="K646" s="9">
        <v>-1.8500000000000001</v>
      </c>
      <c r="L646" s="9" t="s">
        <v>72</v>
      </c>
      <c r="M646" s="9" t="str">
        <f t="shared" si="0"/>
        <v>20%+</v>
      </c>
    </row>
    <row r="647">
      <c r="A647" s="10">
        <v>45167</v>
      </c>
      <c r="B647" s="9" t="s">
        <v>721</v>
      </c>
      <c r="C647" s="9" t="s">
        <v>16</v>
      </c>
      <c r="D647" s="9" t="s">
        <v>12</v>
      </c>
      <c r="E647" s="9" t="s">
        <v>19</v>
      </c>
      <c r="F647" s="9" t="s">
        <v>98</v>
      </c>
      <c r="G647" s="9">
        <v>179.65000000000001</v>
      </c>
      <c r="H647" s="9">
        <v>3</v>
      </c>
      <c r="I647" s="9">
        <v>538.95000000000005</v>
      </c>
      <c r="J647" s="9">
        <v>0.28999999999999998</v>
      </c>
      <c r="K647" s="9">
        <v>-113.70999999999999</v>
      </c>
      <c r="L647" s="9" t="s">
        <v>72</v>
      </c>
      <c r="M647" s="9" t="str">
        <f t="shared" si="0"/>
        <v>0-10%</v>
      </c>
    </row>
    <row r="648">
      <c r="A648" s="10">
        <v>45083</v>
      </c>
      <c r="B648" s="9" t="s">
        <v>722</v>
      </c>
      <c r="C648" s="9" t="s">
        <v>16</v>
      </c>
      <c r="D648" s="9" t="s">
        <v>9</v>
      </c>
      <c r="E648" s="9" t="s">
        <v>22</v>
      </c>
      <c r="F648" s="9" t="s">
        <v>71</v>
      </c>
      <c r="G648" s="9">
        <v>189.68000000000001</v>
      </c>
      <c r="H648" s="9">
        <v>5</v>
      </c>
      <c r="I648" s="9">
        <v>948.39999999999998</v>
      </c>
      <c r="J648" s="9">
        <v>0.040000000000000001</v>
      </c>
      <c r="K648" s="9">
        <v>47.68</v>
      </c>
      <c r="L648" s="9" t="s">
        <v>55</v>
      </c>
      <c r="M648" s="9" t="str">
        <f t="shared" si="0"/>
        <v>20%+</v>
      </c>
    </row>
    <row r="649">
      <c r="A649" s="10">
        <v>45272</v>
      </c>
      <c r="B649" s="9" t="s">
        <v>723</v>
      </c>
      <c r="C649" s="9" t="s">
        <v>17</v>
      </c>
      <c r="D649" s="9" t="s">
        <v>11</v>
      </c>
      <c r="E649" s="9" t="s">
        <v>20</v>
      </c>
      <c r="F649" s="9" t="s">
        <v>80</v>
      </c>
      <c r="G649" s="9">
        <v>11.210000000000001</v>
      </c>
      <c r="H649" s="9">
        <v>1</v>
      </c>
      <c r="I649" s="9">
        <v>11.210000000000001</v>
      </c>
      <c r="J649" s="9">
        <v>0</v>
      </c>
      <c r="K649" s="9">
        <v>1.4399999999999999</v>
      </c>
      <c r="L649" s="9" t="s">
        <v>72</v>
      </c>
      <c r="M649" s="9" t="str">
        <f t="shared" si="0"/>
        <v>0-10%</v>
      </c>
    </row>
    <row r="650">
      <c r="A650" s="10">
        <v>45194</v>
      </c>
      <c r="B650" s="9" t="s">
        <v>724</v>
      </c>
      <c r="C650" s="9" t="s">
        <v>14</v>
      </c>
      <c r="D650" s="9" t="s">
        <v>8</v>
      </c>
      <c r="E650" s="9" t="s">
        <v>19</v>
      </c>
      <c r="F650" s="9" t="s">
        <v>62</v>
      </c>
      <c r="G650" s="9">
        <v>190.87</v>
      </c>
      <c r="H650" s="9">
        <v>10</v>
      </c>
      <c r="I650" s="9">
        <v>1908.7</v>
      </c>
      <c r="J650" s="9">
        <v>0.10000000000000001</v>
      </c>
      <c r="K650" s="9">
        <v>6.5</v>
      </c>
      <c r="L650" s="9" t="s">
        <v>55</v>
      </c>
      <c r="M650" s="9" t="str">
        <f t="shared" si="0"/>
        <v>0-10%</v>
      </c>
    </row>
    <row r="651">
      <c r="A651" s="10">
        <v>45266</v>
      </c>
      <c r="B651" s="9" t="s">
        <v>725</v>
      </c>
      <c r="C651" s="9" t="s">
        <v>15</v>
      </c>
      <c r="D651" s="9" t="s">
        <v>10</v>
      </c>
      <c r="E651" s="9" t="s">
        <v>22</v>
      </c>
      <c r="F651" s="9" t="s">
        <v>84</v>
      </c>
      <c r="G651" s="9">
        <v>434.18000000000001</v>
      </c>
      <c r="H651" s="9">
        <v>7</v>
      </c>
      <c r="I651" s="9">
        <v>3039.2600000000002</v>
      </c>
      <c r="J651" s="9">
        <v>0.23999999999999999</v>
      </c>
      <c r="K651" s="9">
        <v>-236.63999999999999</v>
      </c>
      <c r="L651" s="9" t="s">
        <v>58</v>
      </c>
      <c r="M651" s="9" t="str">
        <f t="shared" si="0"/>
        <v>0-10%</v>
      </c>
    </row>
    <row r="652">
      <c r="A652" s="10">
        <v>45040</v>
      </c>
      <c r="B652" s="9" t="s">
        <v>726</v>
      </c>
      <c r="C652" s="9" t="s">
        <v>16</v>
      </c>
      <c r="D652" s="9" t="s">
        <v>11</v>
      </c>
      <c r="E652" s="9" t="s">
        <v>20</v>
      </c>
      <c r="F652" s="9" t="s">
        <v>65</v>
      </c>
      <c r="G652" s="9">
        <v>306.79000000000002</v>
      </c>
      <c r="H652" s="9">
        <v>13</v>
      </c>
      <c r="I652" s="9">
        <v>3988.27</v>
      </c>
      <c r="J652" s="9">
        <v>0.25</v>
      </c>
      <c r="K652" s="9">
        <v>-197.59999999999999</v>
      </c>
      <c r="L652" s="9" t="s">
        <v>55</v>
      </c>
      <c r="M652" s="9" t="str">
        <f t="shared" si="0"/>
        <v>20%+</v>
      </c>
    </row>
    <row r="653">
      <c r="A653" s="10">
        <v>45053</v>
      </c>
      <c r="B653" s="9" t="s">
        <v>727</v>
      </c>
      <c r="C653" s="9" t="s">
        <v>17</v>
      </c>
      <c r="D653" s="9" t="s">
        <v>12</v>
      </c>
      <c r="E653" s="9" t="s">
        <v>20</v>
      </c>
      <c r="F653" s="9" t="s">
        <v>69</v>
      </c>
      <c r="G653" s="9">
        <v>327.60000000000002</v>
      </c>
      <c r="H653" s="9">
        <v>8</v>
      </c>
      <c r="I653" s="9">
        <v>2620.8000000000002</v>
      </c>
      <c r="J653" s="9">
        <v>0</v>
      </c>
      <c r="K653" s="9">
        <v>243.41999999999999</v>
      </c>
      <c r="L653" s="9" t="s">
        <v>72</v>
      </c>
      <c r="M653" s="9" t="str">
        <f t="shared" si="0"/>
        <v>20%+</v>
      </c>
    </row>
    <row r="654">
      <c r="A654" s="10">
        <v>45020</v>
      </c>
      <c r="B654" s="9" t="s">
        <v>728</v>
      </c>
      <c r="C654" s="9" t="s">
        <v>17</v>
      </c>
      <c r="D654" s="9" t="s">
        <v>9</v>
      </c>
      <c r="E654" s="9" t="s">
        <v>20</v>
      </c>
      <c r="F654" s="9" t="s">
        <v>80</v>
      </c>
      <c r="G654" s="9">
        <v>74.760000000000005</v>
      </c>
      <c r="H654" s="9">
        <v>11</v>
      </c>
      <c r="I654" s="9">
        <v>822.36000000000001</v>
      </c>
      <c r="J654" s="9">
        <v>0.17000000000000001</v>
      </c>
      <c r="K654" s="9">
        <v>16.530000000000001</v>
      </c>
      <c r="L654" s="9" t="s">
        <v>58</v>
      </c>
      <c r="M654" s="9" t="str">
        <f t="shared" si="0"/>
        <v>0-10%</v>
      </c>
    </row>
    <row r="655">
      <c r="A655" s="10">
        <v>45063</v>
      </c>
      <c r="B655" s="9" t="s">
        <v>729</v>
      </c>
      <c r="C655" s="9" t="s">
        <v>16</v>
      </c>
      <c r="D655" s="9" t="s">
        <v>12</v>
      </c>
      <c r="E655" s="9" t="s">
        <v>22</v>
      </c>
      <c r="F655" s="9" t="s">
        <v>54</v>
      </c>
      <c r="G655" s="9">
        <v>283.60000000000002</v>
      </c>
      <c r="H655" s="9">
        <v>3</v>
      </c>
      <c r="I655" s="9">
        <v>850.79999999999995</v>
      </c>
      <c r="J655" s="9">
        <v>0.28999999999999998</v>
      </c>
      <c r="K655" s="9">
        <v>-98.650000000000006</v>
      </c>
      <c r="L655" s="9" t="s">
        <v>72</v>
      </c>
      <c r="M655" s="9" t="str">
        <f t="shared" si="0"/>
        <v>10-20%</v>
      </c>
    </row>
    <row r="656">
      <c r="A656" s="10">
        <v>45035</v>
      </c>
      <c r="B656" s="9" t="s">
        <v>730</v>
      </c>
      <c r="C656" s="9" t="s">
        <v>16</v>
      </c>
      <c r="D656" s="9" t="s">
        <v>11</v>
      </c>
      <c r="E656" s="9" t="s">
        <v>20</v>
      </c>
      <c r="F656" s="9" t="s">
        <v>69</v>
      </c>
      <c r="G656" s="9">
        <v>245.27000000000001</v>
      </c>
      <c r="H656" s="9">
        <v>11</v>
      </c>
      <c r="I656" s="9">
        <v>2697.9699999999998</v>
      </c>
      <c r="J656" s="9">
        <v>0.26000000000000001</v>
      </c>
      <c r="K656" s="9">
        <v>-47.140000000000001</v>
      </c>
      <c r="L656" s="9" t="s">
        <v>72</v>
      </c>
      <c r="M656" s="9" t="str">
        <f t="shared" si="0"/>
        <v>20%+</v>
      </c>
    </row>
    <row r="657">
      <c r="A657" s="10">
        <v>44980</v>
      </c>
      <c r="B657" s="9" t="s">
        <v>731</v>
      </c>
      <c r="C657" s="9" t="s">
        <v>15</v>
      </c>
      <c r="D657" s="9" t="s">
        <v>11</v>
      </c>
      <c r="E657" s="9" t="s">
        <v>20</v>
      </c>
      <c r="F657" s="9" t="s">
        <v>101</v>
      </c>
      <c r="G657" s="9">
        <v>176.59999999999999</v>
      </c>
      <c r="H657" s="9">
        <v>8</v>
      </c>
      <c r="I657" s="9">
        <v>1412.8</v>
      </c>
      <c r="J657" s="9">
        <v>0.25</v>
      </c>
      <c r="K657" s="9">
        <v>-225.78</v>
      </c>
      <c r="L657" s="9" t="s">
        <v>72</v>
      </c>
      <c r="M657" s="9" t="str">
        <f t="shared" si="0"/>
        <v>20%+</v>
      </c>
    </row>
    <row r="658">
      <c r="A658" s="10">
        <v>45109</v>
      </c>
      <c r="B658" s="9" t="s">
        <v>732</v>
      </c>
      <c r="C658" s="9" t="s">
        <v>16</v>
      </c>
      <c r="D658" s="9" t="s">
        <v>9</v>
      </c>
      <c r="E658" s="9" t="s">
        <v>22</v>
      </c>
      <c r="F658" s="9" t="s">
        <v>54</v>
      </c>
      <c r="G658" s="9">
        <v>109.45</v>
      </c>
      <c r="H658" s="9">
        <v>15</v>
      </c>
      <c r="I658" s="9">
        <v>1641.75</v>
      </c>
      <c r="J658" s="9">
        <v>0</v>
      </c>
      <c r="K658" s="9">
        <v>121.01000000000001</v>
      </c>
      <c r="L658" s="9" t="s">
        <v>63</v>
      </c>
      <c r="M658" s="9" t="str">
        <f t="shared" si="0"/>
        <v>20%+</v>
      </c>
    </row>
    <row r="659">
      <c r="A659" s="10">
        <v>45065</v>
      </c>
      <c r="B659" s="9" t="s">
        <v>733</v>
      </c>
      <c r="C659" s="9" t="s">
        <v>16</v>
      </c>
      <c r="D659" s="9" t="s">
        <v>12</v>
      </c>
      <c r="E659" s="9" t="s">
        <v>22</v>
      </c>
      <c r="F659" s="9" t="s">
        <v>110</v>
      </c>
      <c r="G659" s="9">
        <v>418.13</v>
      </c>
      <c r="H659" s="9">
        <v>11</v>
      </c>
      <c r="I659" s="9">
        <v>4599.4300000000003</v>
      </c>
      <c r="J659" s="9">
        <v>0.17999999999999999</v>
      </c>
      <c r="K659" s="9">
        <v>-324.12</v>
      </c>
      <c r="L659" s="9" t="s">
        <v>63</v>
      </c>
      <c r="M659" s="9" t="str">
        <f t="shared" si="0"/>
        <v>0-10%</v>
      </c>
    </row>
    <row r="660">
      <c r="A660" s="10">
        <v>45245</v>
      </c>
      <c r="B660" s="9" t="s">
        <v>734</v>
      </c>
      <c r="C660" s="9" t="s">
        <v>16</v>
      </c>
      <c r="D660" s="9" t="s">
        <v>10</v>
      </c>
      <c r="E660" s="9" t="s">
        <v>20</v>
      </c>
      <c r="F660" s="9" t="s">
        <v>74</v>
      </c>
      <c r="G660" s="9">
        <v>296.19999999999999</v>
      </c>
      <c r="H660" s="9">
        <v>6</v>
      </c>
      <c r="I660" s="9">
        <v>1777.2</v>
      </c>
      <c r="J660" s="9">
        <v>0.050000000000000003</v>
      </c>
      <c r="K660" s="9">
        <v>66.640000000000001</v>
      </c>
      <c r="L660" s="9" t="s">
        <v>63</v>
      </c>
      <c r="M660" s="9" t="str">
        <f t="shared" si="0"/>
        <v>10-20%</v>
      </c>
    </row>
    <row r="661">
      <c r="A661" s="10">
        <v>45249</v>
      </c>
      <c r="B661" s="9" t="s">
        <v>735</v>
      </c>
      <c r="C661" s="9" t="s">
        <v>14</v>
      </c>
      <c r="D661" s="9" t="s">
        <v>10</v>
      </c>
      <c r="E661" s="9" t="s">
        <v>22</v>
      </c>
      <c r="F661" s="9" t="s">
        <v>84</v>
      </c>
      <c r="G661" s="9">
        <v>358.57999999999998</v>
      </c>
      <c r="H661" s="9">
        <v>2</v>
      </c>
      <c r="I661" s="9">
        <v>717.15999999999997</v>
      </c>
      <c r="J661" s="9">
        <v>0.17999999999999999</v>
      </c>
      <c r="K661" s="9">
        <v>-18.489999999999998</v>
      </c>
      <c r="L661" s="9" t="s">
        <v>72</v>
      </c>
      <c r="M661" s="9" t="str">
        <f t="shared" si="0"/>
        <v>0-10%</v>
      </c>
    </row>
    <row r="662">
      <c r="A662" s="10">
        <v>44934</v>
      </c>
      <c r="B662" s="9" t="s">
        <v>736</v>
      </c>
      <c r="C662" s="9" t="s">
        <v>16</v>
      </c>
      <c r="D662" s="9" t="s">
        <v>8</v>
      </c>
      <c r="E662" s="9" t="s">
        <v>21</v>
      </c>
      <c r="F662" s="9" t="s">
        <v>88</v>
      </c>
      <c r="G662" s="9">
        <v>265.12</v>
      </c>
      <c r="H662" s="9">
        <v>8</v>
      </c>
      <c r="I662" s="9">
        <v>2120.96</v>
      </c>
      <c r="J662" s="9">
        <v>0.070000000000000007</v>
      </c>
      <c r="K662" s="9">
        <v>0.27000000000000002</v>
      </c>
      <c r="L662" s="9" t="s">
        <v>55</v>
      </c>
      <c r="M662" s="9" t="str">
        <f t="shared" si="0"/>
        <v>10-20%</v>
      </c>
    </row>
    <row r="663">
      <c r="A663" s="10">
        <v>45224</v>
      </c>
      <c r="B663" s="9" t="s">
        <v>737</v>
      </c>
      <c r="C663" s="9" t="s">
        <v>17</v>
      </c>
      <c r="D663" s="9" t="s">
        <v>11</v>
      </c>
      <c r="E663" s="9" t="s">
        <v>22</v>
      </c>
      <c r="F663" s="9" t="s">
        <v>110</v>
      </c>
      <c r="G663" s="9">
        <v>322.33999999999997</v>
      </c>
      <c r="H663" s="9">
        <v>9</v>
      </c>
      <c r="I663" s="9">
        <v>2901.0599999999999</v>
      </c>
      <c r="J663" s="9">
        <v>0.28999999999999998</v>
      </c>
      <c r="K663" s="9">
        <v>-551.00999999999999</v>
      </c>
      <c r="L663" s="9" t="s">
        <v>72</v>
      </c>
      <c r="M663" s="9" t="str">
        <f t="shared" si="0"/>
        <v>0-10%</v>
      </c>
    </row>
    <row r="664">
      <c r="A664" s="10">
        <v>44948</v>
      </c>
      <c r="B664" s="9" t="s">
        <v>738</v>
      </c>
      <c r="C664" s="9" t="s">
        <v>15</v>
      </c>
      <c r="D664" s="9" t="s">
        <v>9</v>
      </c>
      <c r="E664" s="9" t="s">
        <v>21</v>
      </c>
      <c r="F664" s="9" t="s">
        <v>82</v>
      </c>
      <c r="G664" s="9">
        <v>17.100000000000001</v>
      </c>
      <c r="H664" s="9">
        <v>10</v>
      </c>
      <c r="I664" s="9">
        <v>171</v>
      </c>
      <c r="J664" s="9">
        <v>0</v>
      </c>
      <c r="K664" s="9">
        <v>20.640000000000001</v>
      </c>
      <c r="L664" s="9" t="s">
        <v>55</v>
      </c>
      <c r="M664" s="9" t="str">
        <f t="shared" si="0"/>
        <v>20%+</v>
      </c>
    </row>
    <row r="665">
      <c r="A665" s="10">
        <v>45199</v>
      </c>
      <c r="B665" s="9" t="s">
        <v>739</v>
      </c>
      <c r="C665" s="9" t="s">
        <v>16</v>
      </c>
      <c r="D665" s="9" t="s">
        <v>12</v>
      </c>
      <c r="E665" s="9" t="s">
        <v>20</v>
      </c>
      <c r="F665" s="9" t="s">
        <v>80</v>
      </c>
      <c r="G665" s="9">
        <v>45.719999999999999</v>
      </c>
      <c r="H665" s="9">
        <v>3</v>
      </c>
      <c r="I665" s="9">
        <v>137.16</v>
      </c>
      <c r="J665" s="9">
        <v>0</v>
      </c>
      <c r="K665" s="9">
        <v>33.439999999999998</v>
      </c>
      <c r="L665" s="9" t="s">
        <v>55</v>
      </c>
      <c r="M665" s="9" t="str">
        <f t="shared" si="0"/>
        <v>0-10%</v>
      </c>
    </row>
    <row r="666">
      <c r="A666" s="10">
        <v>44974</v>
      </c>
      <c r="B666" s="9" t="s">
        <v>740</v>
      </c>
      <c r="C666" s="9" t="s">
        <v>15</v>
      </c>
      <c r="D666" s="9" t="s">
        <v>9</v>
      </c>
      <c r="E666" s="9" t="s">
        <v>19</v>
      </c>
      <c r="F666" s="9" t="s">
        <v>62</v>
      </c>
      <c r="G666" s="9">
        <v>104.5</v>
      </c>
      <c r="H666" s="9">
        <v>9</v>
      </c>
      <c r="I666" s="9">
        <v>940.5</v>
      </c>
      <c r="J666" s="9">
        <v>0.01</v>
      </c>
      <c r="K666" s="9">
        <v>74.390000000000001</v>
      </c>
      <c r="L666" s="9" t="s">
        <v>58</v>
      </c>
      <c r="M666" s="9" t="str">
        <f t="shared" si="0"/>
        <v>0-10%</v>
      </c>
    </row>
    <row r="667">
      <c r="A667" s="10">
        <v>45149</v>
      </c>
      <c r="B667" s="9" t="s">
        <v>741</v>
      </c>
      <c r="C667" s="9" t="s">
        <v>15</v>
      </c>
      <c r="D667" s="9" t="s">
        <v>11</v>
      </c>
      <c r="E667" s="9" t="s">
        <v>19</v>
      </c>
      <c r="F667" s="9" t="s">
        <v>67</v>
      </c>
      <c r="G667" s="9">
        <v>92.540000000000006</v>
      </c>
      <c r="H667" s="9">
        <v>12</v>
      </c>
      <c r="I667" s="9">
        <v>1110.48</v>
      </c>
      <c r="J667" s="9">
        <v>0.23999999999999999</v>
      </c>
      <c r="K667" s="9">
        <v>-148.83000000000001</v>
      </c>
      <c r="L667" s="9" t="s">
        <v>72</v>
      </c>
      <c r="M667" s="9" t="str">
        <f t="shared" si="0"/>
        <v>0-10%</v>
      </c>
    </row>
    <row r="668">
      <c r="A668" s="10">
        <v>45013</v>
      </c>
      <c r="B668" s="9" t="s">
        <v>742</v>
      </c>
      <c r="C668" s="9" t="s">
        <v>17</v>
      </c>
      <c r="D668" s="9" t="s">
        <v>11</v>
      </c>
      <c r="E668" s="9" t="s">
        <v>19</v>
      </c>
      <c r="F668" s="9" t="s">
        <v>57</v>
      </c>
      <c r="G668" s="9">
        <v>292.13999999999999</v>
      </c>
      <c r="H668" s="9">
        <v>2</v>
      </c>
      <c r="I668" s="9">
        <v>584.27999999999997</v>
      </c>
      <c r="J668" s="9">
        <v>0.27000000000000002</v>
      </c>
      <c r="K668" s="9">
        <v>-57.659999999999997</v>
      </c>
      <c r="L668" s="9" t="s">
        <v>72</v>
      </c>
      <c r="M668" s="9" t="str">
        <f t="shared" si="0"/>
        <v>20%+</v>
      </c>
    </row>
    <row r="669">
      <c r="A669" s="10">
        <v>45126</v>
      </c>
      <c r="B669" s="9" t="s">
        <v>743</v>
      </c>
      <c r="C669" s="9" t="s">
        <v>17</v>
      </c>
      <c r="D669" s="9" t="s">
        <v>11</v>
      </c>
      <c r="E669" s="9" t="s">
        <v>19</v>
      </c>
      <c r="F669" s="9" t="s">
        <v>60</v>
      </c>
      <c r="G669" s="9">
        <v>308.54000000000002</v>
      </c>
      <c r="H669" s="9">
        <v>4</v>
      </c>
      <c r="I669" s="9">
        <v>1234.1600000000001</v>
      </c>
      <c r="J669" s="9">
        <v>0.050000000000000003</v>
      </c>
      <c r="K669" s="9">
        <v>166.59</v>
      </c>
      <c r="L669" s="9" t="s">
        <v>63</v>
      </c>
      <c r="M669" s="9" t="str">
        <f t="shared" si="0"/>
        <v>20%+</v>
      </c>
    </row>
    <row r="670">
      <c r="A670" s="10">
        <v>45106</v>
      </c>
      <c r="B670" s="9" t="s">
        <v>744</v>
      </c>
      <c r="C670" s="9" t="s">
        <v>14</v>
      </c>
      <c r="D670" s="9" t="s">
        <v>11</v>
      </c>
      <c r="E670" s="9" t="s">
        <v>19</v>
      </c>
      <c r="F670" s="9" t="s">
        <v>57</v>
      </c>
      <c r="G670" s="9">
        <v>22.879999999999999</v>
      </c>
      <c r="H670" s="9">
        <v>10</v>
      </c>
      <c r="I670" s="9">
        <v>228.80000000000001</v>
      </c>
      <c r="J670" s="9">
        <v>0.16</v>
      </c>
      <c r="K670" s="9">
        <v>-18.210000000000001</v>
      </c>
      <c r="L670" s="9" t="s">
        <v>63</v>
      </c>
      <c r="M670" s="9" t="str">
        <f t="shared" si="0"/>
        <v>0-10%</v>
      </c>
    </row>
    <row r="671">
      <c r="A671" s="10">
        <v>44993</v>
      </c>
      <c r="B671" s="9" t="s">
        <v>745</v>
      </c>
      <c r="C671" s="9" t="s">
        <v>15</v>
      </c>
      <c r="D671" s="9" t="s">
        <v>10</v>
      </c>
      <c r="E671" s="9" t="s">
        <v>22</v>
      </c>
      <c r="F671" s="9" t="s">
        <v>71</v>
      </c>
      <c r="G671" s="9">
        <v>382.13999999999999</v>
      </c>
      <c r="H671" s="9">
        <v>6</v>
      </c>
      <c r="I671" s="9">
        <v>2292.8400000000001</v>
      </c>
      <c r="J671" s="9">
        <v>0.01</v>
      </c>
      <c r="K671" s="9">
        <v>543.23000000000002</v>
      </c>
      <c r="L671" s="9" t="s">
        <v>63</v>
      </c>
      <c r="M671" s="9" t="str">
        <f t="shared" si="0"/>
        <v>10-20%</v>
      </c>
    </row>
    <row r="672">
      <c r="A672" s="10">
        <v>45151</v>
      </c>
      <c r="B672" s="9" t="s">
        <v>746</v>
      </c>
      <c r="C672" s="9" t="s">
        <v>14</v>
      </c>
      <c r="D672" s="9" t="s">
        <v>12</v>
      </c>
      <c r="E672" s="9" t="s">
        <v>19</v>
      </c>
      <c r="F672" s="9" t="s">
        <v>67</v>
      </c>
      <c r="G672" s="9">
        <v>399.69999999999999</v>
      </c>
      <c r="H672" s="9">
        <v>13</v>
      </c>
      <c r="I672" s="9">
        <v>5196.1000000000004</v>
      </c>
      <c r="J672" s="9">
        <v>0.20999999999999999</v>
      </c>
      <c r="K672" s="9">
        <v>-771.69000000000005</v>
      </c>
      <c r="L672" s="9" t="s">
        <v>72</v>
      </c>
      <c r="M672" s="9" t="str">
        <f t="shared" si="0"/>
        <v>0-10%</v>
      </c>
    </row>
    <row r="673">
      <c r="A673" s="10">
        <v>44987</v>
      </c>
      <c r="B673" s="9" t="s">
        <v>747</v>
      </c>
      <c r="C673" s="9" t="s">
        <v>17</v>
      </c>
      <c r="D673" s="9" t="s">
        <v>10</v>
      </c>
      <c r="E673" s="9" t="s">
        <v>22</v>
      </c>
      <c r="F673" s="9" t="s">
        <v>125</v>
      </c>
      <c r="G673" s="9">
        <v>65.340000000000003</v>
      </c>
      <c r="H673" s="9">
        <v>12</v>
      </c>
      <c r="I673" s="9">
        <v>784.08000000000004</v>
      </c>
      <c r="J673" s="9">
        <v>0.040000000000000001</v>
      </c>
      <c r="K673" s="9">
        <v>58.460000000000001</v>
      </c>
      <c r="L673" s="9" t="s">
        <v>72</v>
      </c>
      <c r="M673" s="9" t="str">
        <f t="shared" si="0"/>
        <v>20%+</v>
      </c>
    </row>
    <row r="674">
      <c r="A674" s="10">
        <v>44977</v>
      </c>
      <c r="B674" s="9" t="s">
        <v>748</v>
      </c>
      <c r="C674" s="9" t="s">
        <v>16</v>
      </c>
      <c r="D674" s="9" t="s">
        <v>9</v>
      </c>
      <c r="E674" s="9" t="s">
        <v>20</v>
      </c>
      <c r="F674" s="9" t="s">
        <v>101</v>
      </c>
      <c r="G674" s="9">
        <v>338.68000000000001</v>
      </c>
      <c r="H674" s="9">
        <v>7</v>
      </c>
      <c r="I674" s="9">
        <v>2370.7600000000002</v>
      </c>
      <c r="J674" s="9">
        <v>0.080000000000000002</v>
      </c>
      <c r="K674" s="9">
        <v>143.13</v>
      </c>
      <c r="L674" s="9" t="s">
        <v>55</v>
      </c>
      <c r="M674" s="9" t="str">
        <f t="shared" si="0"/>
        <v>0-10%</v>
      </c>
    </row>
    <row r="675">
      <c r="A675" s="10">
        <v>45024</v>
      </c>
      <c r="B675" s="9" t="s">
        <v>749</v>
      </c>
      <c r="C675" s="9" t="s">
        <v>15</v>
      </c>
      <c r="D675" s="9" t="s">
        <v>8</v>
      </c>
      <c r="E675" s="9" t="s">
        <v>21</v>
      </c>
      <c r="F675" s="9" t="s">
        <v>76</v>
      </c>
      <c r="G675" s="9">
        <v>374.33999999999997</v>
      </c>
      <c r="H675" s="9">
        <v>7</v>
      </c>
      <c r="I675" s="9">
        <v>2620.3800000000001</v>
      </c>
      <c r="J675" s="9">
        <v>0.14000000000000001</v>
      </c>
      <c r="K675" s="9">
        <v>-22.969999999999999</v>
      </c>
      <c r="L675" s="9" t="s">
        <v>72</v>
      </c>
      <c r="M675" s="9" t="str">
        <f t="shared" si="0"/>
        <v>0-10%</v>
      </c>
    </row>
    <row r="676">
      <c r="A676" s="10">
        <v>45051</v>
      </c>
      <c r="B676" s="9" t="s">
        <v>750</v>
      </c>
      <c r="C676" s="9" t="s">
        <v>17</v>
      </c>
      <c r="D676" s="9" t="s">
        <v>10</v>
      </c>
      <c r="E676" s="9" t="s">
        <v>21</v>
      </c>
      <c r="F676" s="9" t="s">
        <v>76</v>
      </c>
      <c r="G676" s="9">
        <v>87.170000000000002</v>
      </c>
      <c r="H676" s="9">
        <v>4</v>
      </c>
      <c r="I676" s="9">
        <v>348.68000000000001</v>
      </c>
      <c r="J676" s="9">
        <v>0.13</v>
      </c>
      <c r="K676" s="9">
        <v>0.40000000000000002</v>
      </c>
      <c r="L676" s="9" t="s">
        <v>72</v>
      </c>
      <c r="M676" s="9" t="str">
        <f t="shared" si="0"/>
        <v>10-20%</v>
      </c>
    </row>
    <row r="677">
      <c r="A677" s="10">
        <v>45024</v>
      </c>
      <c r="B677" s="9" t="s">
        <v>751</v>
      </c>
      <c r="C677" s="9" t="s">
        <v>16</v>
      </c>
      <c r="D677" s="9" t="s">
        <v>11</v>
      </c>
      <c r="E677" s="9" t="s">
        <v>19</v>
      </c>
      <c r="F677" s="9" t="s">
        <v>98</v>
      </c>
      <c r="G677" s="9">
        <v>458.63999999999999</v>
      </c>
      <c r="H677" s="9">
        <v>12</v>
      </c>
      <c r="I677" s="9">
        <v>5503.6800000000003</v>
      </c>
      <c r="J677" s="9">
        <v>0.26000000000000001</v>
      </c>
      <c r="K677" s="9">
        <v>-981.75</v>
      </c>
      <c r="L677" s="9" t="s">
        <v>58</v>
      </c>
      <c r="M677" s="9" t="str">
        <f t="shared" si="0"/>
        <v>10-20%</v>
      </c>
    </row>
    <row r="678">
      <c r="A678" s="10">
        <v>45030</v>
      </c>
      <c r="B678" s="9" t="s">
        <v>752</v>
      </c>
      <c r="C678" s="9" t="s">
        <v>16</v>
      </c>
      <c r="D678" s="9" t="s">
        <v>9</v>
      </c>
      <c r="E678" s="9" t="s">
        <v>19</v>
      </c>
      <c r="F678" s="9" t="s">
        <v>67</v>
      </c>
      <c r="G678" s="9">
        <v>116.55</v>
      </c>
      <c r="H678" s="9">
        <v>11</v>
      </c>
      <c r="I678" s="9">
        <v>1282.05</v>
      </c>
      <c r="J678" s="9">
        <v>0.17000000000000001</v>
      </c>
      <c r="K678" s="9">
        <v>12.359999999999999</v>
      </c>
      <c r="L678" s="9" t="s">
        <v>72</v>
      </c>
      <c r="M678" s="9" t="str">
        <f t="shared" si="0"/>
        <v>20%+</v>
      </c>
    </row>
    <row r="679">
      <c r="A679" s="10">
        <v>45286</v>
      </c>
      <c r="B679" s="9" t="s">
        <v>753</v>
      </c>
      <c r="C679" s="9" t="s">
        <v>17</v>
      </c>
      <c r="D679" s="9" t="s">
        <v>9</v>
      </c>
      <c r="E679" s="9" t="s">
        <v>20</v>
      </c>
      <c r="F679" s="9" t="s">
        <v>74</v>
      </c>
      <c r="G679" s="9">
        <v>206.16999999999999</v>
      </c>
      <c r="H679" s="9">
        <v>10</v>
      </c>
      <c r="I679" s="9">
        <v>2061.6999999999998</v>
      </c>
      <c r="J679" s="9">
        <v>0.23000000000000001</v>
      </c>
      <c r="K679" s="9">
        <v>-355.44999999999999</v>
      </c>
      <c r="L679" s="9" t="s">
        <v>55</v>
      </c>
      <c r="M679" s="9" t="str">
        <f t="shared" si="0"/>
        <v>10-20%</v>
      </c>
    </row>
    <row r="680">
      <c r="A680" s="10">
        <v>45248</v>
      </c>
      <c r="B680" s="9" t="s">
        <v>754</v>
      </c>
      <c r="C680" s="9" t="s">
        <v>14</v>
      </c>
      <c r="D680" s="9" t="s">
        <v>9</v>
      </c>
      <c r="E680" s="9" t="s">
        <v>21</v>
      </c>
      <c r="F680" s="9" t="s">
        <v>88</v>
      </c>
      <c r="G680" s="9">
        <v>436.72000000000003</v>
      </c>
      <c r="H680" s="9">
        <v>6</v>
      </c>
      <c r="I680" s="9">
        <v>2620.3200000000002</v>
      </c>
      <c r="J680" s="9">
        <v>0.23999999999999999</v>
      </c>
      <c r="K680" s="9">
        <v>-180.31</v>
      </c>
      <c r="L680" s="9" t="s">
        <v>63</v>
      </c>
      <c r="M680" s="9" t="str">
        <f t="shared" si="0"/>
        <v>20%+</v>
      </c>
    </row>
    <row r="681">
      <c r="A681" s="10">
        <v>45291</v>
      </c>
      <c r="B681" s="9" t="s">
        <v>755</v>
      </c>
      <c r="C681" s="9" t="s">
        <v>15</v>
      </c>
      <c r="D681" s="9" t="s">
        <v>10</v>
      </c>
      <c r="E681" s="9" t="s">
        <v>21</v>
      </c>
      <c r="F681" s="9" t="s">
        <v>82</v>
      </c>
      <c r="G681" s="9">
        <v>153.80000000000001</v>
      </c>
      <c r="H681" s="9">
        <v>1</v>
      </c>
      <c r="I681" s="9">
        <v>153.80000000000001</v>
      </c>
      <c r="J681" s="9">
        <v>0</v>
      </c>
      <c r="K681" s="9">
        <v>20.010000000000002</v>
      </c>
      <c r="L681" s="9" t="s">
        <v>55</v>
      </c>
      <c r="M681" s="9" t="str">
        <f t="shared" si="0"/>
        <v>20%+</v>
      </c>
    </row>
    <row r="682">
      <c r="A682" s="10">
        <v>45121</v>
      </c>
      <c r="B682" s="9" t="s">
        <v>756</v>
      </c>
      <c r="C682" s="9" t="s">
        <v>17</v>
      </c>
      <c r="D682" s="9" t="s">
        <v>8</v>
      </c>
      <c r="E682" s="9" t="s">
        <v>20</v>
      </c>
      <c r="F682" s="9" t="s">
        <v>65</v>
      </c>
      <c r="G682" s="9">
        <v>191.46000000000001</v>
      </c>
      <c r="H682" s="9">
        <v>14</v>
      </c>
      <c r="I682" s="9">
        <v>2680.4400000000001</v>
      </c>
      <c r="J682" s="9">
        <v>0.28000000000000003</v>
      </c>
      <c r="K682" s="9">
        <v>-200.22999999999999</v>
      </c>
      <c r="L682" s="9" t="s">
        <v>63</v>
      </c>
      <c r="M682" s="9" t="str">
        <f t="shared" si="0"/>
        <v>0-10%</v>
      </c>
    </row>
    <row r="683">
      <c r="A683" s="10">
        <v>45148</v>
      </c>
      <c r="B683" s="9" t="s">
        <v>757</v>
      </c>
      <c r="C683" s="9" t="s">
        <v>16</v>
      </c>
      <c r="D683" s="9" t="s">
        <v>12</v>
      </c>
      <c r="E683" s="9" t="s">
        <v>20</v>
      </c>
      <c r="F683" s="9" t="s">
        <v>74</v>
      </c>
      <c r="G683" s="9">
        <v>76.200000000000003</v>
      </c>
      <c r="H683" s="9">
        <v>11</v>
      </c>
      <c r="I683" s="9">
        <v>838.20000000000005</v>
      </c>
      <c r="J683" s="9">
        <v>0.27000000000000002</v>
      </c>
      <c r="K683" s="9">
        <v>-135.24000000000001</v>
      </c>
      <c r="L683" s="9" t="s">
        <v>63</v>
      </c>
      <c r="M683" s="9" t="str">
        <f t="shared" si="0"/>
        <v>20%+</v>
      </c>
    </row>
    <row r="684">
      <c r="A684" s="10">
        <v>45186</v>
      </c>
      <c r="B684" s="9" t="s">
        <v>758</v>
      </c>
      <c r="C684" s="9" t="s">
        <v>15</v>
      </c>
      <c r="D684" s="9" t="s">
        <v>12</v>
      </c>
      <c r="E684" s="9" t="s">
        <v>19</v>
      </c>
      <c r="F684" s="9" t="s">
        <v>67</v>
      </c>
      <c r="G684" s="9">
        <v>105.05</v>
      </c>
      <c r="H684" s="9">
        <v>4</v>
      </c>
      <c r="I684" s="9">
        <v>420.19999999999999</v>
      </c>
      <c r="J684" s="9">
        <v>0.14999999999999999</v>
      </c>
      <c r="K684" s="9">
        <v>13.02</v>
      </c>
      <c r="L684" s="9" t="s">
        <v>55</v>
      </c>
      <c r="M684" s="9" t="str">
        <f t="shared" si="0"/>
        <v>20%+</v>
      </c>
    </row>
    <row r="685">
      <c r="A685" s="10">
        <v>45159</v>
      </c>
      <c r="B685" s="9" t="s">
        <v>759</v>
      </c>
      <c r="C685" s="9" t="s">
        <v>16</v>
      </c>
      <c r="D685" s="9" t="s">
        <v>10</v>
      </c>
      <c r="E685" s="9" t="s">
        <v>20</v>
      </c>
      <c r="F685" s="9" t="s">
        <v>69</v>
      </c>
      <c r="G685" s="9">
        <v>164.31999999999999</v>
      </c>
      <c r="H685" s="9">
        <v>11</v>
      </c>
      <c r="I685" s="9">
        <v>1807.52</v>
      </c>
      <c r="J685" s="9">
        <v>0.050000000000000003</v>
      </c>
      <c r="K685" s="9">
        <v>283.91000000000003</v>
      </c>
      <c r="L685" s="9" t="s">
        <v>63</v>
      </c>
      <c r="M685" s="9" t="str">
        <f t="shared" si="0"/>
        <v>10-20%</v>
      </c>
    </row>
    <row r="686">
      <c r="A686" s="10">
        <v>45223</v>
      </c>
      <c r="B686" s="9" t="s">
        <v>760</v>
      </c>
      <c r="C686" s="9" t="s">
        <v>16</v>
      </c>
      <c r="D686" s="9" t="s">
        <v>10</v>
      </c>
      <c r="E686" s="9" t="s">
        <v>22</v>
      </c>
      <c r="F686" s="9" t="s">
        <v>125</v>
      </c>
      <c r="G686" s="9">
        <v>377.94</v>
      </c>
      <c r="H686" s="9">
        <v>9</v>
      </c>
      <c r="I686" s="9">
        <v>3401.46</v>
      </c>
      <c r="J686" s="9">
        <v>0.23000000000000001</v>
      </c>
      <c r="K686" s="9">
        <v>-243.80000000000001</v>
      </c>
      <c r="L686" s="9" t="s">
        <v>72</v>
      </c>
      <c r="M686" s="9" t="str">
        <f t="shared" si="0"/>
        <v>0-10%</v>
      </c>
    </row>
    <row r="687">
      <c r="A687" s="10">
        <v>45144</v>
      </c>
      <c r="B687" s="9" t="s">
        <v>761</v>
      </c>
      <c r="C687" s="9" t="s">
        <v>16</v>
      </c>
      <c r="D687" s="9" t="s">
        <v>8</v>
      </c>
      <c r="E687" s="9" t="s">
        <v>22</v>
      </c>
      <c r="F687" s="9" t="s">
        <v>71</v>
      </c>
      <c r="G687" s="9">
        <v>376.97000000000003</v>
      </c>
      <c r="H687" s="9">
        <v>5</v>
      </c>
      <c r="I687" s="9">
        <v>1884.8499999999999</v>
      </c>
      <c r="J687" s="9">
        <v>0.040000000000000001</v>
      </c>
      <c r="K687" s="9">
        <v>334.55000000000001</v>
      </c>
      <c r="L687" s="9" t="s">
        <v>72</v>
      </c>
      <c r="M687" s="9" t="str">
        <f t="shared" si="0"/>
        <v>20%+</v>
      </c>
    </row>
    <row r="688">
      <c r="A688" s="10">
        <v>45135</v>
      </c>
      <c r="B688" s="9" t="s">
        <v>762</v>
      </c>
      <c r="C688" s="9" t="s">
        <v>15</v>
      </c>
      <c r="D688" s="9" t="s">
        <v>8</v>
      </c>
      <c r="E688" s="9" t="s">
        <v>21</v>
      </c>
      <c r="F688" s="9" t="s">
        <v>78</v>
      </c>
      <c r="G688" s="9">
        <v>180.31999999999999</v>
      </c>
      <c r="H688" s="9">
        <v>11</v>
      </c>
      <c r="I688" s="9">
        <v>1983.52</v>
      </c>
      <c r="J688" s="9">
        <v>0.28000000000000003</v>
      </c>
      <c r="K688" s="9">
        <v>-411.17000000000002</v>
      </c>
      <c r="L688" s="9" t="s">
        <v>58</v>
      </c>
      <c r="M688" s="9" t="str">
        <f t="shared" si="0"/>
        <v>0-10%</v>
      </c>
    </row>
    <row r="689">
      <c r="A689" s="10">
        <v>45244</v>
      </c>
      <c r="B689" s="9" t="s">
        <v>763</v>
      </c>
      <c r="C689" s="9" t="s">
        <v>17</v>
      </c>
      <c r="D689" s="9" t="s">
        <v>12</v>
      </c>
      <c r="E689" s="9" t="s">
        <v>22</v>
      </c>
      <c r="F689" s="9" t="s">
        <v>125</v>
      </c>
      <c r="G689" s="9">
        <v>80.140000000000001</v>
      </c>
      <c r="H689" s="9">
        <v>3</v>
      </c>
      <c r="I689" s="9">
        <v>240.41999999999999</v>
      </c>
      <c r="J689" s="9">
        <v>0.25</v>
      </c>
      <c r="K689" s="9">
        <v>-28.129999999999999</v>
      </c>
      <c r="L689" s="9" t="s">
        <v>55</v>
      </c>
      <c r="M689" s="9" t="str">
        <f t="shared" si="0"/>
        <v>20%+</v>
      </c>
    </row>
    <row r="690">
      <c r="A690" s="10">
        <v>45113</v>
      </c>
      <c r="B690" s="9" t="s">
        <v>764</v>
      </c>
      <c r="C690" s="9" t="s">
        <v>16</v>
      </c>
      <c r="D690" s="9" t="s">
        <v>12</v>
      </c>
      <c r="E690" s="9" t="s">
        <v>22</v>
      </c>
      <c r="F690" s="9" t="s">
        <v>110</v>
      </c>
      <c r="G690" s="9">
        <v>461.04000000000002</v>
      </c>
      <c r="H690" s="9">
        <v>12</v>
      </c>
      <c r="I690" s="9">
        <v>5532.4799999999996</v>
      </c>
      <c r="J690" s="9">
        <v>0.080000000000000002</v>
      </c>
      <c r="K690" s="9">
        <v>903.13</v>
      </c>
      <c r="L690" s="9" t="s">
        <v>58</v>
      </c>
      <c r="M690" s="9" t="str">
        <f t="shared" si="0"/>
        <v>20%+</v>
      </c>
    </row>
    <row r="691">
      <c r="A691" s="10">
        <v>45099</v>
      </c>
      <c r="B691" s="9" t="s">
        <v>765</v>
      </c>
      <c r="C691" s="9" t="s">
        <v>16</v>
      </c>
      <c r="D691" s="9" t="s">
        <v>12</v>
      </c>
      <c r="E691" s="9" t="s">
        <v>22</v>
      </c>
      <c r="F691" s="9" t="s">
        <v>125</v>
      </c>
      <c r="G691" s="9">
        <v>331.99000000000001</v>
      </c>
      <c r="H691" s="9">
        <v>7</v>
      </c>
      <c r="I691" s="9">
        <v>2323.9299999999998</v>
      </c>
      <c r="J691" s="9">
        <v>0.16</v>
      </c>
      <c r="K691" s="9">
        <v>-52.890000000000001</v>
      </c>
      <c r="L691" s="9" t="s">
        <v>55</v>
      </c>
      <c r="M691" s="9" t="str">
        <f t="shared" si="0"/>
        <v>0-10%</v>
      </c>
    </row>
    <row r="692">
      <c r="A692" s="10">
        <v>45103</v>
      </c>
      <c r="B692" s="9" t="s">
        <v>766</v>
      </c>
      <c r="C692" s="9" t="s">
        <v>17</v>
      </c>
      <c r="D692" s="9" t="s">
        <v>12</v>
      </c>
      <c r="E692" s="9" t="s">
        <v>21</v>
      </c>
      <c r="F692" s="9" t="s">
        <v>76</v>
      </c>
      <c r="G692" s="9">
        <v>201</v>
      </c>
      <c r="H692" s="9">
        <v>5</v>
      </c>
      <c r="I692" s="9">
        <v>1005</v>
      </c>
      <c r="J692" s="9">
        <v>0.01</v>
      </c>
      <c r="K692" s="9">
        <v>80.239999999999995</v>
      </c>
      <c r="L692" s="9" t="s">
        <v>58</v>
      </c>
      <c r="M692" s="9" t="str">
        <f t="shared" si="0"/>
        <v>10-20%</v>
      </c>
    </row>
    <row r="693">
      <c r="A693" s="10">
        <v>45256</v>
      </c>
      <c r="B693" s="9" t="s">
        <v>767</v>
      </c>
      <c r="C693" s="9" t="s">
        <v>17</v>
      </c>
      <c r="D693" s="9" t="s">
        <v>10</v>
      </c>
      <c r="E693" s="9" t="s">
        <v>19</v>
      </c>
      <c r="F693" s="9" t="s">
        <v>60</v>
      </c>
      <c r="G693" s="9">
        <v>386.92000000000002</v>
      </c>
      <c r="H693" s="9">
        <v>1</v>
      </c>
      <c r="I693" s="9">
        <v>386.92000000000002</v>
      </c>
      <c r="J693" s="9">
        <v>0.12</v>
      </c>
      <c r="K693" s="9">
        <v>-16.300000000000001</v>
      </c>
      <c r="L693" s="9" t="s">
        <v>72</v>
      </c>
      <c r="M693" s="9" t="str">
        <f t="shared" si="0"/>
        <v>0-10%</v>
      </c>
    </row>
    <row r="694">
      <c r="A694" s="10">
        <v>45143</v>
      </c>
      <c r="B694" s="9" t="s">
        <v>768</v>
      </c>
      <c r="C694" s="9" t="s">
        <v>14</v>
      </c>
      <c r="D694" s="9" t="s">
        <v>10</v>
      </c>
      <c r="E694" s="9" t="s">
        <v>20</v>
      </c>
      <c r="F694" s="9" t="s">
        <v>101</v>
      </c>
      <c r="G694" s="9">
        <v>254.63</v>
      </c>
      <c r="H694" s="9">
        <v>8</v>
      </c>
      <c r="I694" s="9">
        <v>2037.04</v>
      </c>
      <c r="J694" s="9">
        <v>0.28000000000000003</v>
      </c>
      <c r="K694" s="9">
        <v>-193.66</v>
      </c>
      <c r="L694" s="9" t="s">
        <v>55</v>
      </c>
      <c r="M694" s="9" t="str">
        <f t="shared" si="0"/>
        <v>10-20%</v>
      </c>
    </row>
    <row r="695">
      <c r="A695" s="10">
        <v>45019</v>
      </c>
      <c r="B695" s="9" t="s">
        <v>769</v>
      </c>
      <c r="C695" s="9" t="s">
        <v>15</v>
      </c>
      <c r="D695" s="9" t="s">
        <v>12</v>
      </c>
      <c r="E695" s="9" t="s">
        <v>19</v>
      </c>
      <c r="F695" s="9" t="s">
        <v>57</v>
      </c>
      <c r="G695" s="9">
        <v>346.72000000000003</v>
      </c>
      <c r="H695" s="9">
        <v>9</v>
      </c>
      <c r="I695" s="9">
        <v>3120.48</v>
      </c>
      <c r="J695" s="9">
        <v>0.02</v>
      </c>
      <c r="K695" s="9">
        <v>255.55000000000001</v>
      </c>
      <c r="L695" s="9" t="s">
        <v>72</v>
      </c>
      <c r="M695" s="9" t="str">
        <f t="shared" si="0"/>
        <v>20%+</v>
      </c>
    </row>
    <row r="696">
      <c r="A696" s="10">
        <v>45228</v>
      </c>
      <c r="B696" s="9" t="s">
        <v>770</v>
      </c>
      <c r="C696" s="9" t="s">
        <v>17</v>
      </c>
      <c r="D696" s="9" t="s">
        <v>10</v>
      </c>
      <c r="E696" s="9" t="s">
        <v>19</v>
      </c>
      <c r="F696" s="9" t="s">
        <v>57</v>
      </c>
      <c r="G696" s="9">
        <v>22.690000000000001</v>
      </c>
      <c r="H696" s="9">
        <v>3</v>
      </c>
      <c r="I696" s="9">
        <v>68.069999999999993</v>
      </c>
      <c r="J696" s="9">
        <v>0</v>
      </c>
      <c r="K696" s="9">
        <v>4.2999999999999998</v>
      </c>
      <c r="L696" s="9" t="s">
        <v>55</v>
      </c>
      <c r="M696" s="9" t="str">
        <f t="shared" si="0"/>
        <v>0-10%</v>
      </c>
    </row>
    <row r="697">
      <c r="A697" s="10">
        <v>45211</v>
      </c>
      <c r="B697" s="9" t="s">
        <v>771</v>
      </c>
      <c r="C697" s="9" t="s">
        <v>14</v>
      </c>
      <c r="D697" s="9" t="s">
        <v>9</v>
      </c>
      <c r="E697" s="9" t="s">
        <v>21</v>
      </c>
      <c r="F697" s="9" t="s">
        <v>78</v>
      </c>
      <c r="G697" s="9">
        <v>322.31999999999999</v>
      </c>
      <c r="H697" s="9">
        <v>1</v>
      </c>
      <c r="I697" s="9">
        <v>322.31999999999999</v>
      </c>
      <c r="J697" s="9">
        <v>0.059999999999999998</v>
      </c>
      <c r="K697" s="9">
        <v>30.649999999999999</v>
      </c>
      <c r="L697" s="9" t="s">
        <v>63</v>
      </c>
      <c r="M697" s="9" t="str">
        <f t="shared" si="0"/>
        <v>0-10%</v>
      </c>
    </row>
    <row r="698">
      <c r="A698" s="10">
        <v>45198</v>
      </c>
      <c r="B698" s="9" t="s">
        <v>772</v>
      </c>
      <c r="C698" s="9" t="s">
        <v>16</v>
      </c>
      <c r="D698" s="9" t="s">
        <v>11</v>
      </c>
      <c r="E698" s="9" t="s">
        <v>21</v>
      </c>
      <c r="F698" s="9" t="s">
        <v>76</v>
      </c>
      <c r="G698" s="9">
        <v>241.06999999999999</v>
      </c>
      <c r="H698" s="9">
        <v>13</v>
      </c>
      <c r="I698" s="9">
        <v>3133.9099999999999</v>
      </c>
      <c r="J698" s="9">
        <v>0.11</v>
      </c>
      <c r="K698" s="9">
        <v>-9.6899999999999995</v>
      </c>
      <c r="L698" s="9" t="s">
        <v>63</v>
      </c>
      <c r="M698" s="9" t="str">
        <f t="shared" si="0"/>
        <v>0-10%</v>
      </c>
    </row>
    <row r="699">
      <c r="A699" s="10">
        <v>45275</v>
      </c>
      <c r="B699" s="9" t="s">
        <v>773</v>
      </c>
      <c r="C699" s="9" t="s">
        <v>17</v>
      </c>
      <c r="D699" s="9" t="s">
        <v>11</v>
      </c>
      <c r="E699" s="9" t="s">
        <v>19</v>
      </c>
      <c r="F699" s="9" t="s">
        <v>62</v>
      </c>
      <c r="G699" s="9">
        <v>478.44</v>
      </c>
      <c r="H699" s="9">
        <v>14</v>
      </c>
      <c r="I699" s="9">
        <v>6698.1599999999999</v>
      </c>
      <c r="J699" s="9">
        <v>0.13</v>
      </c>
      <c r="K699" s="9">
        <v>-494.48000000000002</v>
      </c>
      <c r="L699" s="9" t="s">
        <v>63</v>
      </c>
      <c r="M699" s="9" t="str">
        <f t="shared" si="0"/>
        <v>10-20%</v>
      </c>
    </row>
    <row r="700">
      <c r="A700" s="10">
        <v>45154</v>
      </c>
      <c r="B700" s="9" t="s">
        <v>774</v>
      </c>
      <c r="C700" s="9" t="s">
        <v>17</v>
      </c>
      <c r="D700" s="9" t="s">
        <v>10</v>
      </c>
      <c r="E700" s="9" t="s">
        <v>22</v>
      </c>
      <c r="F700" s="9" t="s">
        <v>54</v>
      </c>
      <c r="G700" s="9">
        <v>385.17000000000002</v>
      </c>
      <c r="H700" s="9">
        <v>7</v>
      </c>
      <c r="I700" s="9">
        <v>2696.1900000000001</v>
      </c>
      <c r="J700" s="9">
        <v>0.20999999999999999</v>
      </c>
      <c r="K700" s="9">
        <v>-67.299999999999997</v>
      </c>
      <c r="L700" s="9" t="s">
        <v>58</v>
      </c>
      <c r="M700" s="9" t="str">
        <f t="shared" si="0"/>
        <v>10-20%</v>
      </c>
    </row>
    <row r="701">
      <c r="A701" s="10">
        <v>45164</v>
      </c>
      <c r="B701" s="9" t="s">
        <v>775</v>
      </c>
      <c r="C701" s="9" t="s">
        <v>14</v>
      </c>
      <c r="D701" s="9" t="s">
        <v>12</v>
      </c>
      <c r="E701" s="9" t="s">
        <v>20</v>
      </c>
      <c r="F701" s="9" t="s">
        <v>101</v>
      </c>
      <c r="G701" s="9">
        <v>437.13999999999999</v>
      </c>
      <c r="H701" s="9">
        <v>8</v>
      </c>
      <c r="I701" s="9">
        <v>3497.1199999999999</v>
      </c>
      <c r="J701" s="9">
        <v>0.23999999999999999</v>
      </c>
      <c r="K701" s="9">
        <v>-530.24000000000001</v>
      </c>
      <c r="L701" s="9" t="s">
        <v>58</v>
      </c>
      <c r="M701" s="9" t="str">
        <f t="shared" si="0"/>
        <v>20%+</v>
      </c>
    </row>
    <row r="702">
      <c r="A702" s="10">
        <v>44959</v>
      </c>
      <c r="B702" s="9" t="s">
        <v>776</v>
      </c>
      <c r="C702" s="9" t="s">
        <v>14</v>
      </c>
      <c r="D702" s="9" t="s">
        <v>10</v>
      </c>
      <c r="E702" s="9" t="s">
        <v>19</v>
      </c>
      <c r="F702" s="9" t="s">
        <v>62</v>
      </c>
      <c r="G702" s="9">
        <v>235.62</v>
      </c>
      <c r="H702" s="9">
        <v>6</v>
      </c>
      <c r="I702" s="9">
        <v>1413.72</v>
      </c>
      <c r="J702" s="9">
        <v>0.17999999999999999</v>
      </c>
      <c r="K702" s="9">
        <v>-121.7</v>
      </c>
      <c r="L702" s="9" t="s">
        <v>72</v>
      </c>
      <c r="M702" s="9" t="str">
        <f t="shared" si="0"/>
        <v>20%+</v>
      </c>
    </row>
    <row r="703">
      <c r="A703" s="10">
        <v>44954</v>
      </c>
      <c r="B703" s="9" t="s">
        <v>777</v>
      </c>
      <c r="C703" s="9" t="s">
        <v>15</v>
      </c>
      <c r="D703" s="9" t="s">
        <v>8</v>
      </c>
      <c r="E703" s="9" t="s">
        <v>21</v>
      </c>
      <c r="F703" s="9" t="s">
        <v>96</v>
      </c>
      <c r="G703" s="9">
        <v>95.340000000000003</v>
      </c>
      <c r="H703" s="9">
        <v>11</v>
      </c>
      <c r="I703" s="9">
        <v>1048.74</v>
      </c>
      <c r="J703" s="9">
        <v>0.20000000000000001</v>
      </c>
      <c r="K703" s="9">
        <v>-124.33</v>
      </c>
      <c r="L703" s="9" t="s">
        <v>55</v>
      </c>
      <c r="M703" s="9" t="str">
        <f t="shared" si="0"/>
        <v>10-20%</v>
      </c>
    </row>
    <row r="704">
      <c r="A704" s="10">
        <v>45109</v>
      </c>
      <c r="B704" s="9" t="s">
        <v>778</v>
      </c>
      <c r="C704" s="9" t="s">
        <v>17</v>
      </c>
      <c r="D704" s="9" t="s">
        <v>12</v>
      </c>
      <c r="E704" s="9" t="s">
        <v>19</v>
      </c>
      <c r="F704" s="9" t="s">
        <v>57</v>
      </c>
      <c r="G704" s="9">
        <v>108.19</v>
      </c>
      <c r="H704" s="9">
        <v>8</v>
      </c>
      <c r="I704" s="9">
        <v>865.51999999999998</v>
      </c>
      <c r="J704" s="9">
        <v>0.040000000000000001</v>
      </c>
      <c r="K704" s="9">
        <v>118.78</v>
      </c>
      <c r="L704" s="9" t="s">
        <v>63</v>
      </c>
      <c r="M704" s="9" t="str">
        <f t="shared" si="0"/>
        <v>10-20%</v>
      </c>
    </row>
    <row r="705">
      <c r="A705" s="10">
        <v>45197</v>
      </c>
      <c r="B705" s="9" t="s">
        <v>779</v>
      </c>
      <c r="C705" s="9" t="s">
        <v>15</v>
      </c>
      <c r="D705" s="9" t="s">
        <v>9</v>
      </c>
      <c r="E705" s="9" t="s">
        <v>19</v>
      </c>
      <c r="F705" s="9" t="s">
        <v>62</v>
      </c>
      <c r="G705" s="9">
        <v>161.06</v>
      </c>
      <c r="H705" s="9">
        <v>13</v>
      </c>
      <c r="I705" s="9">
        <v>2093.7800000000002</v>
      </c>
      <c r="J705" s="9">
        <v>0.029999999999999999</v>
      </c>
      <c r="K705" s="9">
        <v>406.35000000000002</v>
      </c>
      <c r="L705" s="9" t="s">
        <v>72</v>
      </c>
      <c r="M705" s="9" t="str">
        <f t="shared" si="0"/>
        <v>0-10%</v>
      </c>
    </row>
    <row r="706">
      <c r="A706" s="10">
        <v>45281</v>
      </c>
      <c r="B706" s="9" t="s">
        <v>780</v>
      </c>
      <c r="C706" s="9" t="s">
        <v>17</v>
      </c>
      <c r="D706" s="9" t="s">
        <v>12</v>
      </c>
      <c r="E706" s="9" t="s">
        <v>19</v>
      </c>
      <c r="F706" s="9" t="s">
        <v>57</v>
      </c>
      <c r="G706" s="9">
        <v>201.16999999999999</v>
      </c>
      <c r="H706" s="9">
        <v>9</v>
      </c>
      <c r="I706" s="9">
        <v>1810.53</v>
      </c>
      <c r="J706" s="9">
        <v>0.26000000000000001</v>
      </c>
      <c r="K706" s="9">
        <v>-307.74000000000001</v>
      </c>
      <c r="L706" s="9" t="s">
        <v>58</v>
      </c>
      <c r="M706" s="9" t="str">
        <f t="shared" si="0"/>
        <v>0-10%</v>
      </c>
    </row>
    <row r="707">
      <c r="A707" s="10">
        <v>45148</v>
      </c>
      <c r="B707" s="9" t="s">
        <v>781</v>
      </c>
      <c r="C707" s="9" t="s">
        <v>17</v>
      </c>
      <c r="D707" s="9" t="s">
        <v>10</v>
      </c>
      <c r="E707" s="9" t="s">
        <v>21</v>
      </c>
      <c r="F707" s="9" t="s">
        <v>88</v>
      </c>
      <c r="G707" s="9">
        <v>193.63999999999999</v>
      </c>
      <c r="H707" s="9">
        <v>4</v>
      </c>
      <c r="I707" s="9">
        <v>774.55999999999995</v>
      </c>
      <c r="J707" s="9">
        <v>0.23999999999999999</v>
      </c>
      <c r="K707" s="9">
        <v>-34.670000000000002</v>
      </c>
      <c r="L707" s="9" t="s">
        <v>72</v>
      </c>
      <c r="M707" s="9" t="str">
        <f t="shared" si="0"/>
        <v>20%+</v>
      </c>
    </row>
    <row r="708">
      <c r="A708" s="10">
        <v>45137</v>
      </c>
      <c r="B708" s="9" t="s">
        <v>782</v>
      </c>
      <c r="C708" s="9" t="s">
        <v>17</v>
      </c>
      <c r="D708" s="9" t="s">
        <v>12</v>
      </c>
      <c r="E708" s="9" t="s">
        <v>19</v>
      </c>
      <c r="F708" s="9" t="s">
        <v>67</v>
      </c>
      <c r="G708" s="9">
        <v>182.97</v>
      </c>
      <c r="H708" s="9">
        <v>9</v>
      </c>
      <c r="I708" s="9">
        <v>1646.73</v>
      </c>
      <c r="J708" s="9">
        <v>0.089999999999999997</v>
      </c>
      <c r="K708" s="9">
        <v>72.310000000000002</v>
      </c>
      <c r="L708" s="9" t="s">
        <v>58</v>
      </c>
      <c r="M708" s="9" t="str">
        <f t="shared" si="0"/>
        <v>20%+</v>
      </c>
    </row>
    <row r="709">
      <c r="A709" s="10">
        <v>45004</v>
      </c>
      <c r="B709" s="9" t="s">
        <v>783</v>
      </c>
      <c r="C709" s="9" t="s">
        <v>15</v>
      </c>
      <c r="D709" s="9" t="s">
        <v>12</v>
      </c>
      <c r="E709" s="9" t="s">
        <v>20</v>
      </c>
      <c r="F709" s="9" t="s">
        <v>69</v>
      </c>
      <c r="G709" s="9">
        <v>122.5</v>
      </c>
      <c r="H709" s="9">
        <v>4</v>
      </c>
      <c r="I709" s="9">
        <v>490</v>
      </c>
      <c r="J709" s="9">
        <v>0.11</v>
      </c>
      <c r="K709" s="9">
        <v>53.789999999999999</v>
      </c>
      <c r="L709" s="9" t="s">
        <v>72</v>
      </c>
      <c r="M709" s="9" t="str">
        <f t="shared" si="0"/>
        <v>0-10%</v>
      </c>
    </row>
    <row r="710">
      <c r="A710" s="10">
        <v>45286</v>
      </c>
      <c r="B710" s="9" t="s">
        <v>784</v>
      </c>
      <c r="C710" s="9" t="s">
        <v>15</v>
      </c>
      <c r="D710" s="9" t="s">
        <v>10</v>
      </c>
      <c r="E710" s="9" t="s">
        <v>20</v>
      </c>
      <c r="F710" s="9" t="s">
        <v>101</v>
      </c>
      <c r="G710" s="9">
        <v>276.06</v>
      </c>
      <c r="H710" s="9">
        <v>9</v>
      </c>
      <c r="I710" s="9">
        <v>2484.54</v>
      </c>
      <c r="J710" s="9">
        <v>0.28000000000000003</v>
      </c>
      <c r="K710" s="9">
        <v>-320.67000000000002</v>
      </c>
      <c r="L710" s="9" t="s">
        <v>72</v>
      </c>
      <c r="M710" s="9" t="str">
        <f t="shared" si="0"/>
        <v>10-20%</v>
      </c>
    </row>
    <row r="711">
      <c r="A711" s="10">
        <v>45067</v>
      </c>
      <c r="B711" s="9" t="s">
        <v>785</v>
      </c>
      <c r="C711" s="9" t="s">
        <v>16</v>
      </c>
      <c r="D711" s="9" t="s">
        <v>9</v>
      </c>
      <c r="E711" s="9" t="s">
        <v>20</v>
      </c>
      <c r="F711" s="9" t="s">
        <v>69</v>
      </c>
      <c r="G711" s="9">
        <v>385.95999999999998</v>
      </c>
      <c r="H711" s="9">
        <v>8</v>
      </c>
      <c r="I711" s="9">
        <v>3087.6799999999998</v>
      </c>
      <c r="J711" s="9">
        <v>0.17000000000000001</v>
      </c>
      <c r="K711" s="9">
        <v>-203.91999999999999</v>
      </c>
      <c r="L711" s="9" t="s">
        <v>58</v>
      </c>
      <c r="M711" s="9" t="str">
        <f t="shared" si="0"/>
        <v>20%+</v>
      </c>
    </row>
    <row r="712">
      <c r="A712" s="10">
        <v>45059</v>
      </c>
      <c r="B712" s="9" t="s">
        <v>786</v>
      </c>
      <c r="C712" s="9" t="s">
        <v>17</v>
      </c>
      <c r="D712" s="9" t="s">
        <v>9</v>
      </c>
      <c r="E712" s="9" t="s">
        <v>19</v>
      </c>
      <c r="F712" s="9" t="s">
        <v>98</v>
      </c>
      <c r="G712" s="9">
        <v>228.27000000000001</v>
      </c>
      <c r="H712" s="9">
        <v>2</v>
      </c>
      <c r="I712" s="9">
        <v>456.54000000000002</v>
      </c>
      <c r="J712" s="9">
        <v>0.02</v>
      </c>
      <c r="K712" s="9">
        <v>91.420000000000002</v>
      </c>
      <c r="L712" s="9" t="s">
        <v>55</v>
      </c>
      <c r="M712" s="9" t="str">
        <f t="shared" si="0"/>
        <v>10-20%</v>
      </c>
    </row>
    <row r="713">
      <c r="A713" s="10">
        <v>45119</v>
      </c>
      <c r="B713" s="9" t="s">
        <v>787</v>
      </c>
      <c r="C713" s="9" t="s">
        <v>16</v>
      </c>
      <c r="D713" s="9" t="s">
        <v>10</v>
      </c>
      <c r="E713" s="9" t="s">
        <v>19</v>
      </c>
      <c r="F713" s="9" t="s">
        <v>57</v>
      </c>
      <c r="G713" s="9">
        <v>185.90000000000001</v>
      </c>
      <c r="H713" s="9">
        <v>5</v>
      </c>
      <c r="I713" s="9">
        <v>929.5</v>
      </c>
      <c r="J713" s="9">
        <v>0.16</v>
      </c>
      <c r="K713" s="9">
        <v>-58.32</v>
      </c>
      <c r="L713" s="9" t="s">
        <v>55</v>
      </c>
      <c r="M713" s="9" t="str">
        <f t="shared" si="0"/>
        <v>0-10%</v>
      </c>
    </row>
    <row r="714">
      <c r="A714" s="10">
        <v>45184</v>
      </c>
      <c r="B714" s="9" t="s">
        <v>788</v>
      </c>
      <c r="C714" s="9" t="s">
        <v>15</v>
      </c>
      <c r="D714" s="9" t="s">
        <v>12</v>
      </c>
      <c r="E714" s="9" t="s">
        <v>20</v>
      </c>
      <c r="F714" s="9" t="s">
        <v>101</v>
      </c>
      <c r="G714" s="9">
        <v>218.69999999999999</v>
      </c>
      <c r="H714" s="9">
        <v>12</v>
      </c>
      <c r="I714" s="9">
        <v>2624.4000000000001</v>
      </c>
      <c r="J714" s="9">
        <v>0.20000000000000001</v>
      </c>
      <c r="K714" s="9">
        <v>-13.199999999999999</v>
      </c>
      <c r="L714" s="9" t="s">
        <v>72</v>
      </c>
      <c r="M714" s="9" t="str">
        <f t="shared" si="0"/>
        <v>10-20%</v>
      </c>
    </row>
    <row r="715">
      <c r="A715" s="10">
        <v>45103</v>
      </c>
      <c r="B715" s="9" t="s">
        <v>789</v>
      </c>
      <c r="C715" s="9" t="s">
        <v>17</v>
      </c>
      <c r="D715" s="9" t="s">
        <v>12</v>
      </c>
      <c r="E715" s="9" t="s">
        <v>22</v>
      </c>
      <c r="F715" s="9" t="s">
        <v>125</v>
      </c>
      <c r="G715" s="9">
        <v>360.75</v>
      </c>
      <c r="H715" s="9">
        <v>4</v>
      </c>
      <c r="I715" s="9">
        <v>1443</v>
      </c>
      <c r="J715" s="9">
        <v>0.16</v>
      </c>
      <c r="K715" s="9">
        <v>-75.319999999999993</v>
      </c>
      <c r="L715" s="9" t="s">
        <v>72</v>
      </c>
      <c r="M715" s="9" t="str">
        <f t="shared" si="0"/>
        <v>10-20%</v>
      </c>
    </row>
    <row r="716">
      <c r="A716" s="10">
        <v>45101</v>
      </c>
      <c r="B716" s="9" t="s">
        <v>790</v>
      </c>
      <c r="C716" s="9" t="s">
        <v>17</v>
      </c>
      <c r="D716" s="9" t="s">
        <v>9</v>
      </c>
      <c r="E716" s="9" t="s">
        <v>21</v>
      </c>
      <c r="F716" s="9" t="s">
        <v>82</v>
      </c>
      <c r="G716" s="9">
        <v>131.94999999999999</v>
      </c>
      <c r="H716" s="9">
        <v>4</v>
      </c>
      <c r="I716" s="9">
        <v>527.79999999999995</v>
      </c>
      <c r="J716" s="9">
        <v>0.01</v>
      </c>
      <c r="K716" s="9">
        <v>79.420000000000002</v>
      </c>
      <c r="L716" s="9" t="s">
        <v>58</v>
      </c>
      <c r="M716" s="9" t="str">
        <f t="shared" si="0"/>
        <v>10-20%</v>
      </c>
    </row>
    <row r="717">
      <c r="A717" s="10">
        <v>45206</v>
      </c>
      <c r="B717" s="9" t="s">
        <v>791</v>
      </c>
      <c r="C717" s="9" t="s">
        <v>14</v>
      </c>
      <c r="D717" s="9" t="s">
        <v>11</v>
      </c>
      <c r="E717" s="9" t="s">
        <v>22</v>
      </c>
      <c r="F717" s="9" t="s">
        <v>54</v>
      </c>
      <c r="G717" s="9">
        <v>153.55000000000001</v>
      </c>
      <c r="H717" s="9">
        <v>3</v>
      </c>
      <c r="I717" s="9">
        <v>460.64999999999998</v>
      </c>
      <c r="J717" s="9">
        <v>0.25</v>
      </c>
      <c r="K717" s="9">
        <v>-74.780000000000001</v>
      </c>
      <c r="L717" s="9" t="s">
        <v>58</v>
      </c>
      <c r="M717" s="9" t="str">
        <f t="shared" si="0"/>
        <v>0-10%</v>
      </c>
    </row>
    <row r="718">
      <c r="A718" s="10">
        <v>45190</v>
      </c>
      <c r="B718" s="9" t="s">
        <v>792</v>
      </c>
      <c r="C718" s="9" t="s">
        <v>16</v>
      </c>
      <c r="D718" s="9" t="s">
        <v>9</v>
      </c>
      <c r="E718" s="9" t="s">
        <v>19</v>
      </c>
      <c r="F718" s="9" t="s">
        <v>67</v>
      </c>
      <c r="G718" s="9">
        <v>408.97000000000003</v>
      </c>
      <c r="H718" s="9">
        <v>3</v>
      </c>
      <c r="I718" s="9">
        <v>1226.9100000000001</v>
      </c>
      <c r="J718" s="9">
        <v>0.070000000000000007</v>
      </c>
      <c r="K718" s="9">
        <v>85.459999999999994</v>
      </c>
      <c r="L718" s="9" t="s">
        <v>72</v>
      </c>
      <c r="M718" s="9" t="str">
        <f t="shared" si="0"/>
        <v>20%+</v>
      </c>
    </row>
    <row r="719">
      <c r="A719" s="10">
        <v>45095</v>
      </c>
      <c r="B719" s="9" t="s">
        <v>793</v>
      </c>
      <c r="C719" s="9" t="s">
        <v>16</v>
      </c>
      <c r="D719" s="9" t="s">
        <v>10</v>
      </c>
      <c r="E719" s="9" t="s">
        <v>19</v>
      </c>
      <c r="F719" s="9" t="s">
        <v>67</v>
      </c>
      <c r="G719" s="9">
        <v>93.400000000000006</v>
      </c>
      <c r="H719" s="9">
        <v>7</v>
      </c>
      <c r="I719" s="9">
        <v>653.79999999999995</v>
      </c>
      <c r="J719" s="9">
        <v>0.26000000000000001</v>
      </c>
      <c r="K719" s="9">
        <v>-42.159999999999997</v>
      </c>
      <c r="L719" s="9" t="s">
        <v>63</v>
      </c>
      <c r="M719" s="9" t="str">
        <f t="shared" si="0"/>
        <v>0-10%</v>
      </c>
    </row>
    <row r="720">
      <c r="A720" s="10">
        <v>45099</v>
      </c>
      <c r="B720" s="9" t="s">
        <v>794</v>
      </c>
      <c r="C720" s="9" t="s">
        <v>16</v>
      </c>
      <c r="D720" s="9" t="s">
        <v>8</v>
      </c>
      <c r="E720" s="9" t="s">
        <v>20</v>
      </c>
      <c r="F720" s="9" t="s">
        <v>69</v>
      </c>
      <c r="G720" s="9">
        <v>38.350000000000001</v>
      </c>
      <c r="H720" s="9">
        <v>1</v>
      </c>
      <c r="I720" s="9">
        <v>38.350000000000001</v>
      </c>
      <c r="J720" s="9">
        <v>0</v>
      </c>
      <c r="K720" s="9">
        <v>8.9499999999999993</v>
      </c>
      <c r="L720" s="9" t="s">
        <v>63</v>
      </c>
      <c r="M720" s="9" t="str">
        <f t="shared" si="0"/>
        <v>20%+</v>
      </c>
    </row>
    <row r="721">
      <c r="A721" s="10">
        <v>45034</v>
      </c>
      <c r="B721" s="9" t="s">
        <v>795</v>
      </c>
      <c r="C721" s="9" t="s">
        <v>15</v>
      </c>
      <c r="D721" s="9" t="s">
        <v>10</v>
      </c>
      <c r="E721" s="9" t="s">
        <v>21</v>
      </c>
      <c r="F721" s="9" t="s">
        <v>88</v>
      </c>
      <c r="G721" s="9">
        <v>446.18000000000001</v>
      </c>
      <c r="H721" s="9">
        <v>10</v>
      </c>
      <c r="I721" s="9">
        <v>4461.8000000000002</v>
      </c>
      <c r="J721" s="9">
        <v>0.050000000000000003</v>
      </c>
      <c r="K721" s="9">
        <v>533.47000000000003</v>
      </c>
      <c r="L721" s="9" t="s">
        <v>55</v>
      </c>
      <c r="M721" s="9" t="str">
        <f t="shared" si="0"/>
        <v>0-10%</v>
      </c>
    </row>
    <row r="722">
      <c r="A722" s="10">
        <v>44963</v>
      </c>
      <c r="B722" s="9" t="s">
        <v>796</v>
      </c>
      <c r="C722" s="9" t="s">
        <v>17</v>
      </c>
      <c r="D722" s="9" t="s">
        <v>8</v>
      </c>
      <c r="E722" s="9" t="s">
        <v>22</v>
      </c>
      <c r="F722" s="9" t="s">
        <v>125</v>
      </c>
      <c r="G722" s="9">
        <v>36.359999999999999</v>
      </c>
      <c r="H722" s="9">
        <v>14</v>
      </c>
      <c r="I722" s="9">
        <v>509.04000000000002</v>
      </c>
      <c r="J722" s="9">
        <v>0</v>
      </c>
      <c r="K722" s="9">
        <v>71.069999999999993</v>
      </c>
      <c r="L722" s="9" t="s">
        <v>55</v>
      </c>
      <c r="M722" s="9" t="str">
        <f t="shared" si="0"/>
        <v>0-10%</v>
      </c>
    </row>
    <row r="723">
      <c r="A723" s="10">
        <v>45079</v>
      </c>
      <c r="B723" s="9" t="s">
        <v>797</v>
      </c>
      <c r="C723" s="9" t="s">
        <v>16</v>
      </c>
      <c r="D723" s="9" t="s">
        <v>10</v>
      </c>
      <c r="E723" s="9" t="s">
        <v>22</v>
      </c>
      <c r="F723" s="9" t="s">
        <v>54</v>
      </c>
      <c r="G723" s="9">
        <v>158.81</v>
      </c>
      <c r="H723" s="9">
        <v>10</v>
      </c>
      <c r="I723" s="9">
        <v>1588.0999999999999</v>
      </c>
      <c r="J723" s="9">
        <v>0.23000000000000001</v>
      </c>
      <c r="K723" s="9">
        <v>-27.809999999999999</v>
      </c>
      <c r="L723" s="9" t="s">
        <v>58</v>
      </c>
      <c r="M723" s="9" t="str">
        <f t="shared" si="0"/>
        <v>0-10%</v>
      </c>
    </row>
    <row r="724">
      <c r="A724" s="10">
        <v>45039</v>
      </c>
      <c r="B724" s="9" t="s">
        <v>798</v>
      </c>
      <c r="C724" s="9" t="s">
        <v>17</v>
      </c>
      <c r="D724" s="9" t="s">
        <v>8</v>
      </c>
      <c r="E724" s="9" t="s">
        <v>20</v>
      </c>
      <c r="F724" s="9" t="s">
        <v>101</v>
      </c>
      <c r="G724" s="9">
        <v>378.77999999999997</v>
      </c>
      <c r="H724" s="9">
        <v>10</v>
      </c>
      <c r="I724" s="9">
        <v>3787.8000000000002</v>
      </c>
      <c r="J724" s="9">
        <v>0.26000000000000001</v>
      </c>
      <c r="K724" s="9">
        <v>-133.86000000000001</v>
      </c>
      <c r="L724" s="9" t="s">
        <v>58</v>
      </c>
      <c r="M724" s="9" t="str">
        <f t="shared" si="0"/>
        <v>20%+</v>
      </c>
    </row>
    <row r="725">
      <c r="A725" s="10">
        <v>45025</v>
      </c>
      <c r="B725" s="9" t="s">
        <v>799</v>
      </c>
      <c r="C725" s="9" t="s">
        <v>14</v>
      </c>
      <c r="D725" s="9" t="s">
        <v>11</v>
      </c>
      <c r="E725" s="9" t="s">
        <v>20</v>
      </c>
      <c r="F725" s="9" t="s">
        <v>74</v>
      </c>
      <c r="G725" s="9">
        <v>227.37</v>
      </c>
      <c r="H725" s="9">
        <v>7</v>
      </c>
      <c r="I725" s="9">
        <v>1591.5899999999999</v>
      </c>
      <c r="J725" s="9">
        <v>0</v>
      </c>
      <c r="K725" s="9">
        <v>133</v>
      </c>
      <c r="L725" s="9" t="s">
        <v>58</v>
      </c>
      <c r="M725" s="9" t="str">
        <f t="shared" si="0"/>
        <v>20%+</v>
      </c>
    </row>
    <row r="726">
      <c r="A726" s="10">
        <v>45212</v>
      </c>
      <c r="B726" s="9" t="s">
        <v>800</v>
      </c>
      <c r="C726" s="9" t="s">
        <v>17</v>
      </c>
      <c r="D726" s="9" t="s">
        <v>9</v>
      </c>
      <c r="E726" s="9" t="s">
        <v>22</v>
      </c>
      <c r="F726" s="9" t="s">
        <v>110</v>
      </c>
      <c r="G726" s="9">
        <v>169.30000000000001</v>
      </c>
      <c r="H726" s="9">
        <v>10</v>
      </c>
      <c r="I726" s="9">
        <v>1693</v>
      </c>
      <c r="J726" s="9">
        <v>0.029999999999999999</v>
      </c>
      <c r="K726" s="9">
        <v>115.76000000000001</v>
      </c>
      <c r="L726" s="9" t="s">
        <v>55</v>
      </c>
      <c r="M726" s="9" t="str">
        <f t="shared" si="0"/>
        <v>0-10%</v>
      </c>
    </row>
    <row r="727">
      <c r="A727" s="10">
        <v>45278</v>
      </c>
      <c r="B727" s="9" t="s">
        <v>801</v>
      </c>
      <c r="C727" s="9" t="s">
        <v>15</v>
      </c>
      <c r="D727" s="9" t="s">
        <v>9</v>
      </c>
      <c r="E727" s="9" t="s">
        <v>22</v>
      </c>
      <c r="F727" s="9" t="s">
        <v>71</v>
      </c>
      <c r="G727" s="9">
        <v>195.19</v>
      </c>
      <c r="H727" s="9">
        <v>3</v>
      </c>
      <c r="I727" s="9">
        <v>585.57000000000005</v>
      </c>
      <c r="J727" s="9">
        <v>0.13</v>
      </c>
      <c r="K727" s="9">
        <v>-27.449999999999999</v>
      </c>
      <c r="L727" s="9" t="s">
        <v>58</v>
      </c>
      <c r="M727" s="9" t="str">
        <f t="shared" si="0"/>
        <v>0-10%</v>
      </c>
    </row>
    <row r="728">
      <c r="A728" s="10">
        <v>45286</v>
      </c>
      <c r="B728" s="9" t="s">
        <v>802</v>
      </c>
      <c r="C728" s="9" t="s">
        <v>14</v>
      </c>
      <c r="D728" s="9" t="s">
        <v>11</v>
      </c>
      <c r="E728" s="9" t="s">
        <v>19</v>
      </c>
      <c r="F728" s="9" t="s">
        <v>62</v>
      </c>
      <c r="G728" s="9">
        <v>287.06</v>
      </c>
      <c r="H728" s="9">
        <v>8</v>
      </c>
      <c r="I728" s="9">
        <v>2296.48</v>
      </c>
      <c r="J728" s="9">
        <v>0.11</v>
      </c>
      <c r="K728" s="9">
        <v>258.17000000000002</v>
      </c>
      <c r="L728" s="9" t="s">
        <v>55</v>
      </c>
      <c r="M728" s="9" t="str">
        <f t="shared" si="0"/>
        <v>10-20%</v>
      </c>
    </row>
    <row r="729">
      <c r="A729" s="10">
        <v>45011</v>
      </c>
      <c r="B729" s="9" t="s">
        <v>803</v>
      </c>
      <c r="C729" s="9" t="s">
        <v>17</v>
      </c>
      <c r="D729" s="9" t="s">
        <v>9</v>
      </c>
      <c r="E729" s="9" t="s">
        <v>19</v>
      </c>
      <c r="F729" s="9" t="s">
        <v>57</v>
      </c>
      <c r="G729" s="9">
        <v>478.26999999999998</v>
      </c>
      <c r="H729" s="9">
        <v>11</v>
      </c>
      <c r="I729" s="9">
        <v>5260.9700000000003</v>
      </c>
      <c r="J729" s="9">
        <v>0.19</v>
      </c>
      <c r="K729" s="9">
        <v>-646.74000000000001</v>
      </c>
      <c r="L729" s="9" t="s">
        <v>63</v>
      </c>
      <c r="M729" s="9" t="str">
        <f t="shared" si="0"/>
        <v>10-20%</v>
      </c>
    </row>
    <row r="730">
      <c r="A730" s="10">
        <v>45247</v>
      </c>
      <c r="B730" s="9" t="s">
        <v>804</v>
      </c>
      <c r="C730" s="9" t="s">
        <v>14</v>
      </c>
      <c r="D730" s="9" t="s">
        <v>10</v>
      </c>
      <c r="E730" s="9" t="s">
        <v>20</v>
      </c>
      <c r="F730" s="9" t="s">
        <v>80</v>
      </c>
      <c r="G730" s="9">
        <v>168.34999999999999</v>
      </c>
      <c r="H730" s="9">
        <v>14</v>
      </c>
      <c r="I730" s="9">
        <v>2356.9000000000001</v>
      </c>
      <c r="J730" s="9">
        <v>0.28999999999999998</v>
      </c>
      <c r="K730" s="9">
        <v>-127.90000000000001</v>
      </c>
      <c r="L730" s="9" t="s">
        <v>55</v>
      </c>
      <c r="M730" s="9" t="str">
        <f t="shared" si="0"/>
        <v>10-20%</v>
      </c>
    </row>
    <row r="731">
      <c r="A731" s="10">
        <v>45267</v>
      </c>
      <c r="B731" s="9" t="s">
        <v>805</v>
      </c>
      <c r="C731" s="9" t="s">
        <v>17</v>
      </c>
      <c r="D731" s="9" t="s">
        <v>10</v>
      </c>
      <c r="E731" s="9" t="s">
        <v>20</v>
      </c>
      <c r="F731" s="9" t="s">
        <v>80</v>
      </c>
      <c r="G731" s="9">
        <v>404.69</v>
      </c>
      <c r="H731" s="9">
        <v>7</v>
      </c>
      <c r="I731" s="9">
        <v>2832.8299999999999</v>
      </c>
      <c r="J731" s="9">
        <v>0.10000000000000001</v>
      </c>
      <c r="K731" s="9">
        <v>322.06999999999999</v>
      </c>
      <c r="L731" s="9" t="s">
        <v>72</v>
      </c>
      <c r="M731" s="9" t="str">
        <f t="shared" si="0"/>
        <v>20%+</v>
      </c>
    </row>
    <row r="732">
      <c r="A732" s="10">
        <v>45107</v>
      </c>
      <c r="B732" s="9" t="s">
        <v>806</v>
      </c>
      <c r="C732" s="9" t="s">
        <v>14</v>
      </c>
      <c r="D732" s="9" t="s">
        <v>11</v>
      </c>
      <c r="E732" s="9" t="s">
        <v>19</v>
      </c>
      <c r="F732" s="9" t="s">
        <v>62</v>
      </c>
      <c r="G732" s="9">
        <v>73.540000000000006</v>
      </c>
      <c r="H732" s="9">
        <v>7</v>
      </c>
      <c r="I732" s="9">
        <v>514.77999999999997</v>
      </c>
      <c r="J732" s="9">
        <v>0.14999999999999999</v>
      </c>
      <c r="K732" s="9">
        <v>27.079999999999998</v>
      </c>
      <c r="L732" s="9" t="s">
        <v>63</v>
      </c>
      <c r="M732" s="9" t="str">
        <f t="shared" si="0"/>
        <v>0-10%</v>
      </c>
    </row>
    <row r="733">
      <c r="A733" s="10">
        <v>45014</v>
      </c>
      <c r="B733" s="9" t="s">
        <v>807</v>
      </c>
      <c r="C733" s="9" t="s">
        <v>16</v>
      </c>
      <c r="D733" s="9" t="s">
        <v>12</v>
      </c>
      <c r="E733" s="9" t="s">
        <v>19</v>
      </c>
      <c r="F733" s="9" t="s">
        <v>57</v>
      </c>
      <c r="G733" s="9">
        <v>62.310000000000002</v>
      </c>
      <c r="H733" s="9">
        <v>9</v>
      </c>
      <c r="I733" s="9">
        <v>560.78999999999996</v>
      </c>
      <c r="J733" s="9">
        <v>0.26000000000000001</v>
      </c>
      <c r="K733" s="9">
        <v>-92.569999999999993</v>
      </c>
      <c r="L733" s="9" t="s">
        <v>58</v>
      </c>
      <c r="M733" s="9" t="str">
        <f t="shared" si="0"/>
        <v>10-20%</v>
      </c>
    </row>
    <row r="734">
      <c r="A734" s="10">
        <v>45092</v>
      </c>
      <c r="B734" s="9" t="s">
        <v>808</v>
      </c>
      <c r="C734" s="9" t="s">
        <v>15</v>
      </c>
      <c r="D734" s="9" t="s">
        <v>8</v>
      </c>
      <c r="E734" s="9" t="s">
        <v>21</v>
      </c>
      <c r="F734" s="9" t="s">
        <v>78</v>
      </c>
      <c r="G734" s="9">
        <v>223</v>
      </c>
      <c r="H734" s="9">
        <v>1</v>
      </c>
      <c r="I734" s="9">
        <v>223</v>
      </c>
      <c r="J734" s="9">
        <v>0.11</v>
      </c>
      <c r="K734" s="9">
        <v>22.789999999999999</v>
      </c>
      <c r="L734" s="9" t="s">
        <v>63</v>
      </c>
      <c r="M734" s="9" t="str">
        <f t="shared" si="0"/>
        <v>20%+</v>
      </c>
    </row>
    <row r="735">
      <c r="A735" s="10">
        <v>45129</v>
      </c>
      <c r="B735" s="9" t="s">
        <v>809</v>
      </c>
      <c r="C735" s="9" t="s">
        <v>15</v>
      </c>
      <c r="D735" s="9" t="s">
        <v>10</v>
      </c>
      <c r="E735" s="9" t="s">
        <v>20</v>
      </c>
      <c r="F735" s="9" t="s">
        <v>65</v>
      </c>
      <c r="G735" s="9">
        <v>481.13</v>
      </c>
      <c r="H735" s="9">
        <v>12</v>
      </c>
      <c r="I735" s="9">
        <v>5773.5600000000004</v>
      </c>
      <c r="J735" s="9">
        <v>0.27000000000000002</v>
      </c>
      <c r="K735" s="9">
        <v>-1191.71</v>
      </c>
      <c r="L735" s="9" t="s">
        <v>55</v>
      </c>
      <c r="M735" s="9" t="str">
        <f t="shared" si="0"/>
        <v>10-20%</v>
      </c>
    </row>
    <row r="736">
      <c r="A736" s="10">
        <v>45094</v>
      </c>
      <c r="B736" s="9" t="s">
        <v>810</v>
      </c>
      <c r="C736" s="9" t="s">
        <v>15</v>
      </c>
      <c r="D736" s="9" t="s">
        <v>9</v>
      </c>
      <c r="E736" s="9" t="s">
        <v>20</v>
      </c>
      <c r="F736" s="9" t="s">
        <v>80</v>
      </c>
      <c r="G736" s="9">
        <v>110.79000000000001</v>
      </c>
      <c r="H736" s="9">
        <v>8</v>
      </c>
      <c r="I736" s="9">
        <v>886.32000000000005</v>
      </c>
      <c r="J736" s="9">
        <v>0.20999999999999999</v>
      </c>
      <c r="K736" s="9">
        <v>-122.84999999999999</v>
      </c>
      <c r="L736" s="9" t="s">
        <v>55</v>
      </c>
      <c r="M736" s="9" t="str">
        <f t="shared" si="0"/>
        <v>20%+</v>
      </c>
    </row>
    <row r="737">
      <c r="A737" s="10">
        <v>45229</v>
      </c>
      <c r="B737" s="9" t="s">
        <v>811</v>
      </c>
      <c r="C737" s="9" t="s">
        <v>15</v>
      </c>
      <c r="D737" s="9" t="s">
        <v>11</v>
      </c>
      <c r="E737" s="9" t="s">
        <v>21</v>
      </c>
      <c r="F737" s="9" t="s">
        <v>96</v>
      </c>
      <c r="G737" s="9">
        <v>148.66999999999999</v>
      </c>
      <c r="H737" s="9">
        <v>2</v>
      </c>
      <c r="I737" s="9">
        <v>297.33999999999997</v>
      </c>
      <c r="J737" s="9">
        <v>0.089999999999999997</v>
      </c>
      <c r="K737" s="9">
        <v>34.689999999999998</v>
      </c>
      <c r="L737" s="9" t="s">
        <v>58</v>
      </c>
      <c r="M737" s="9" t="str">
        <f t="shared" si="0"/>
        <v>20%+</v>
      </c>
    </row>
    <row r="738">
      <c r="A738" s="10">
        <v>45085</v>
      </c>
      <c r="B738" s="9" t="s">
        <v>812</v>
      </c>
      <c r="C738" s="9" t="s">
        <v>14</v>
      </c>
      <c r="D738" s="9" t="s">
        <v>10</v>
      </c>
      <c r="E738" s="9" t="s">
        <v>22</v>
      </c>
      <c r="F738" s="9" t="s">
        <v>84</v>
      </c>
      <c r="G738" s="9">
        <v>96.019999999999996</v>
      </c>
      <c r="H738" s="9">
        <v>5</v>
      </c>
      <c r="I738" s="9">
        <v>480.10000000000002</v>
      </c>
      <c r="J738" s="9">
        <v>0.12</v>
      </c>
      <c r="K738" s="9">
        <v>51.670000000000002</v>
      </c>
      <c r="L738" s="9" t="s">
        <v>72</v>
      </c>
      <c r="M738" s="9" t="str">
        <f t="shared" si="0"/>
        <v>0-10%</v>
      </c>
    </row>
    <row r="739">
      <c r="A739" s="10">
        <v>45002</v>
      </c>
      <c r="B739" s="9" t="s">
        <v>813</v>
      </c>
      <c r="C739" s="9" t="s">
        <v>16</v>
      </c>
      <c r="D739" s="9" t="s">
        <v>10</v>
      </c>
      <c r="E739" s="9" t="s">
        <v>20</v>
      </c>
      <c r="F739" s="9" t="s">
        <v>69</v>
      </c>
      <c r="G739" s="9">
        <v>77.700000000000003</v>
      </c>
      <c r="H739" s="9">
        <v>3</v>
      </c>
      <c r="I739" s="9">
        <v>233.09999999999999</v>
      </c>
      <c r="J739" s="9">
        <v>0.29999999999999999</v>
      </c>
      <c r="K739" s="9">
        <v>-38.219999999999999</v>
      </c>
      <c r="L739" s="9" t="s">
        <v>58</v>
      </c>
      <c r="M739" s="9" t="str">
        <f t="shared" si="0"/>
        <v>10-20%</v>
      </c>
    </row>
    <row r="740">
      <c r="A740" s="10">
        <v>45244</v>
      </c>
      <c r="B740" s="9" t="s">
        <v>814</v>
      </c>
      <c r="C740" s="9" t="s">
        <v>14</v>
      </c>
      <c r="D740" s="9" t="s">
        <v>10</v>
      </c>
      <c r="E740" s="9" t="s">
        <v>19</v>
      </c>
      <c r="F740" s="9" t="s">
        <v>67</v>
      </c>
      <c r="G740" s="9">
        <v>429.87</v>
      </c>
      <c r="H740" s="9">
        <v>11</v>
      </c>
      <c r="I740" s="9">
        <v>4728.5699999999997</v>
      </c>
      <c r="J740" s="9">
        <v>0.01</v>
      </c>
      <c r="K740" s="9">
        <v>229.19999999999999</v>
      </c>
      <c r="L740" s="9" t="s">
        <v>55</v>
      </c>
      <c r="M740" s="9" t="str">
        <f t="shared" si="0"/>
        <v>20%+</v>
      </c>
    </row>
    <row r="741">
      <c r="A741" s="10">
        <v>44977</v>
      </c>
      <c r="B741" s="9" t="s">
        <v>815</v>
      </c>
      <c r="C741" s="9" t="s">
        <v>16</v>
      </c>
      <c r="D741" s="9" t="s">
        <v>9</v>
      </c>
      <c r="E741" s="9" t="s">
        <v>21</v>
      </c>
      <c r="F741" s="9" t="s">
        <v>78</v>
      </c>
      <c r="G741" s="9">
        <v>228.87</v>
      </c>
      <c r="H741" s="9">
        <v>7</v>
      </c>
      <c r="I741" s="9">
        <v>1602.0899999999999</v>
      </c>
      <c r="J741" s="9">
        <v>0.20999999999999999</v>
      </c>
      <c r="K741" s="9">
        <v>-224.44</v>
      </c>
      <c r="L741" s="9" t="s">
        <v>55</v>
      </c>
      <c r="M741" s="9" t="str">
        <f t="shared" si="0"/>
        <v>0-10%</v>
      </c>
    </row>
    <row r="742">
      <c r="A742" s="10">
        <v>45272</v>
      </c>
      <c r="B742" s="9" t="s">
        <v>816</v>
      </c>
      <c r="C742" s="9" t="s">
        <v>17</v>
      </c>
      <c r="D742" s="9" t="s">
        <v>12</v>
      </c>
      <c r="E742" s="9" t="s">
        <v>22</v>
      </c>
      <c r="F742" s="9" t="s">
        <v>125</v>
      </c>
      <c r="G742" s="9">
        <v>40.340000000000003</v>
      </c>
      <c r="H742" s="9">
        <v>13</v>
      </c>
      <c r="I742" s="9">
        <v>524.41999999999996</v>
      </c>
      <c r="J742" s="9">
        <v>0.13</v>
      </c>
      <c r="K742" s="9">
        <v>48.950000000000003</v>
      </c>
      <c r="L742" s="9" t="s">
        <v>58</v>
      </c>
      <c r="M742" s="9" t="str">
        <f t="shared" si="0"/>
        <v>20%+</v>
      </c>
    </row>
    <row r="743">
      <c r="A743" s="10">
        <v>44985</v>
      </c>
      <c r="B743" s="9" t="s">
        <v>817</v>
      </c>
      <c r="C743" s="9" t="s">
        <v>17</v>
      </c>
      <c r="D743" s="9" t="s">
        <v>11</v>
      </c>
      <c r="E743" s="9" t="s">
        <v>19</v>
      </c>
      <c r="F743" s="9" t="s">
        <v>98</v>
      </c>
      <c r="G743" s="9">
        <v>470.61000000000001</v>
      </c>
      <c r="H743" s="9">
        <v>12</v>
      </c>
      <c r="I743" s="9">
        <v>5647.3199999999997</v>
      </c>
      <c r="J743" s="9">
        <v>0.10000000000000001</v>
      </c>
      <c r="K743" s="9">
        <v>284.56999999999999</v>
      </c>
      <c r="L743" s="9" t="s">
        <v>63</v>
      </c>
      <c r="M743" s="9" t="str">
        <f t="shared" si="0"/>
        <v>10-20%</v>
      </c>
    </row>
    <row r="744">
      <c r="A744" s="10">
        <v>44971</v>
      </c>
      <c r="B744" s="9" t="s">
        <v>818</v>
      </c>
      <c r="C744" s="9" t="s">
        <v>14</v>
      </c>
      <c r="D744" s="9" t="s">
        <v>10</v>
      </c>
      <c r="E744" s="9" t="s">
        <v>21</v>
      </c>
      <c r="F744" s="9" t="s">
        <v>82</v>
      </c>
      <c r="G744" s="9">
        <v>312.54000000000002</v>
      </c>
      <c r="H744" s="9">
        <v>12</v>
      </c>
      <c r="I744" s="9">
        <v>3750.48</v>
      </c>
      <c r="J744" s="9">
        <v>0.080000000000000002</v>
      </c>
      <c r="K744" s="9">
        <v>616.21000000000004</v>
      </c>
      <c r="L744" s="9" t="s">
        <v>55</v>
      </c>
      <c r="M744" s="9" t="str">
        <f t="shared" si="0"/>
        <v>0-10%</v>
      </c>
    </row>
    <row r="745">
      <c r="A745" s="10">
        <v>45265</v>
      </c>
      <c r="B745" s="9" t="s">
        <v>819</v>
      </c>
      <c r="C745" s="9" t="s">
        <v>14</v>
      </c>
      <c r="D745" s="9" t="s">
        <v>11</v>
      </c>
      <c r="E745" s="9" t="s">
        <v>22</v>
      </c>
      <c r="F745" s="9" t="s">
        <v>84</v>
      </c>
      <c r="G745" s="9">
        <v>15.050000000000001</v>
      </c>
      <c r="H745" s="9">
        <v>9</v>
      </c>
      <c r="I745" s="9">
        <v>135.44999999999999</v>
      </c>
      <c r="J745" s="9">
        <v>0</v>
      </c>
      <c r="K745" s="9">
        <v>15.66</v>
      </c>
      <c r="L745" s="9" t="s">
        <v>63</v>
      </c>
      <c r="M745" s="9" t="str">
        <f t="shared" si="0"/>
        <v>0-10%</v>
      </c>
    </row>
    <row r="746">
      <c r="A746" s="10">
        <v>44952</v>
      </c>
      <c r="B746" s="9" t="s">
        <v>820</v>
      </c>
      <c r="C746" s="9" t="s">
        <v>15</v>
      </c>
      <c r="D746" s="9" t="s">
        <v>10</v>
      </c>
      <c r="E746" s="9" t="s">
        <v>21</v>
      </c>
      <c r="F746" s="9" t="s">
        <v>96</v>
      </c>
      <c r="G746" s="9">
        <v>446.22000000000003</v>
      </c>
      <c r="H746" s="9">
        <v>15</v>
      </c>
      <c r="I746" s="9">
        <v>6693.3000000000002</v>
      </c>
      <c r="J746" s="9">
        <v>0.040000000000000001</v>
      </c>
      <c r="K746" s="9">
        <v>359.33999999999997</v>
      </c>
      <c r="L746" s="9" t="s">
        <v>63</v>
      </c>
      <c r="M746" s="9" t="str">
        <f t="shared" si="0"/>
        <v>0-10%</v>
      </c>
    </row>
    <row r="747">
      <c r="A747" s="10">
        <v>44982</v>
      </c>
      <c r="B747" s="9" t="s">
        <v>821</v>
      </c>
      <c r="C747" s="9" t="s">
        <v>17</v>
      </c>
      <c r="D747" s="9" t="s">
        <v>11</v>
      </c>
      <c r="E747" s="9" t="s">
        <v>21</v>
      </c>
      <c r="F747" s="9" t="s">
        <v>82</v>
      </c>
      <c r="G747" s="9">
        <v>161.5</v>
      </c>
      <c r="H747" s="9">
        <v>12</v>
      </c>
      <c r="I747" s="9">
        <v>1938</v>
      </c>
      <c r="J747" s="9">
        <v>0.28000000000000003</v>
      </c>
      <c r="K747" s="9">
        <v>-113.58</v>
      </c>
      <c r="L747" s="9" t="s">
        <v>72</v>
      </c>
      <c r="M747" s="9" t="str">
        <f t="shared" si="0"/>
        <v>0-10%</v>
      </c>
    </row>
    <row r="748">
      <c r="A748" s="10">
        <v>45004</v>
      </c>
      <c r="B748" s="9" t="s">
        <v>822</v>
      </c>
      <c r="C748" s="9" t="s">
        <v>16</v>
      </c>
      <c r="D748" s="9" t="s">
        <v>11</v>
      </c>
      <c r="E748" s="9" t="s">
        <v>22</v>
      </c>
      <c r="F748" s="9" t="s">
        <v>110</v>
      </c>
      <c r="G748" s="9">
        <v>127.78</v>
      </c>
      <c r="H748" s="9">
        <v>2</v>
      </c>
      <c r="I748" s="9">
        <v>255.56</v>
      </c>
      <c r="J748" s="9">
        <v>0.19</v>
      </c>
      <c r="K748" s="9">
        <v>-33.18</v>
      </c>
      <c r="L748" s="9" t="s">
        <v>58</v>
      </c>
      <c r="M748" s="9" t="str">
        <f t="shared" si="0"/>
        <v>20%+</v>
      </c>
    </row>
    <row r="749">
      <c r="A749" s="10">
        <v>45278</v>
      </c>
      <c r="B749" s="9" t="s">
        <v>823</v>
      </c>
      <c r="C749" s="9" t="s">
        <v>17</v>
      </c>
      <c r="D749" s="9" t="s">
        <v>10</v>
      </c>
      <c r="E749" s="9" t="s">
        <v>21</v>
      </c>
      <c r="F749" s="9" t="s">
        <v>96</v>
      </c>
      <c r="G749" s="9">
        <v>223.36000000000001</v>
      </c>
      <c r="H749" s="9">
        <v>3</v>
      </c>
      <c r="I749" s="9">
        <v>670.08000000000004</v>
      </c>
      <c r="J749" s="9">
        <v>0.14999999999999999</v>
      </c>
      <c r="K749" s="9">
        <v>62.619999999999997</v>
      </c>
      <c r="L749" s="9" t="s">
        <v>55</v>
      </c>
      <c r="M749" s="9" t="str">
        <f t="shared" si="0"/>
        <v>10-20%</v>
      </c>
    </row>
    <row r="750">
      <c r="A750" s="10">
        <v>44929</v>
      </c>
      <c r="B750" s="9" t="s">
        <v>824</v>
      </c>
      <c r="C750" s="9" t="s">
        <v>16</v>
      </c>
      <c r="D750" s="9" t="s">
        <v>12</v>
      </c>
      <c r="E750" s="9" t="s">
        <v>21</v>
      </c>
      <c r="F750" s="9" t="s">
        <v>88</v>
      </c>
      <c r="G750" s="9">
        <v>247.19999999999999</v>
      </c>
      <c r="H750" s="9">
        <v>11</v>
      </c>
      <c r="I750" s="9">
        <v>2719.1999999999998</v>
      </c>
      <c r="J750" s="9">
        <v>0.17000000000000001</v>
      </c>
      <c r="K750" s="9">
        <v>-304.31999999999999</v>
      </c>
      <c r="L750" s="9" t="s">
        <v>58</v>
      </c>
      <c r="M750" s="9" t="str">
        <f t="shared" si="0"/>
        <v>10-20%</v>
      </c>
    </row>
    <row r="751">
      <c r="A751" s="10">
        <v>45242</v>
      </c>
      <c r="B751" s="9" t="s">
        <v>825</v>
      </c>
      <c r="C751" s="9" t="s">
        <v>17</v>
      </c>
      <c r="D751" s="9" t="s">
        <v>10</v>
      </c>
      <c r="E751" s="9" t="s">
        <v>22</v>
      </c>
      <c r="F751" s="9" t="s">
        <v>110</v>
      </c>
      <c r="G751" s="9">
        <v>294.79000000000002</v>
      </c>
      <c r="H751" s="9">
        <v>12</v>
      </c>
      <c r="I751" s="9">
        <v>3537.48</v>
      </c>
      <c r="J751" s="9">
        <v>0.20999999999999999</v>
      </c>
      <c r="K751" s="9">
        <v>51.07</v>
      </c>
      <c r="L751" s="9" t="s">
        <v>58</v>
      </c>
      <c r="M751" s="9" t="str">
        <f t="shared" si="0"/>
        <v>10-20%</v>
      </c>
    </row>
    <row r="752">
      <c r="A752" s="10">
        <v>45120</v>
      </c>
      <c r="B752" s="9" t="s">
        <v>826</v>
      </c>
      <c r="C752" s="9" t="s">
        <v>14</v>
      </c>
      <c r="D752" s="9" t="s">
        <v>12</v>
      </c>
      <c r="E752" s="9" t="s">
        <v>20</v>
      </c>
      <c r="F752" s="9" t="s">
        <v>80</v>
      </c>
      <c r="G752" s="9">
        <v>476.10000000000002</v>
      </c>
      <c r="H752" s="9">
        <v>3</v>
      </c>
      <c r="I752" s="9">
        <v>1428.3</v>
      </c>
      <c r="J752" s="9">
        <v>0.17000000000000001</v>
      </c>
      <c r="K752" s="9">
        <v>95.489999999999995</v>
      </c>
      <c r="L752" s="9" t="s">
        <v>58</v>
      </c>
      <c r="M752" s="9" t="str">
        <f t="shared" si="0"/>
        <v>20%+</v>
      </c>
    </row>
    <row r="753">
      <c r="A753" s="10">
        <v>45255</v>
      </c>
      <c r="B753" s="9" t="s">
        <v>827</v>
      </c>
      <c r="C753" s="9" t="s">
        <v>17</v>
      </c>
      <c r="D753" s="9" t="s">
        <v>11</v>
      </c>
      <c r="E753" s="9" t="s">
        <v>21</v>
      </c>
      <c r="F753" s="9" t="s">
        <v>78</v>
      </c>
      <c r="G753" s="9">
        <v>258.81999999999999</v>
      </c>
      <c r="H753" s="9">
        <v>5</v>
      </c>
      <c r="I753" s="9">
        <v>1294.0999999999999</v>
      </c>
      <c r="J753" s="9">
        <v>0.12</v>
      </c>
      <c r="K753" s="9">
        <v>-16.440000000000001</v>
      </c>
      <c r="L753" s="9" t="s">
        <v>72</v>
      </c>
      <c r="M753" s="9" t="str">
        <f t="shared" si="0"/>
        <v>10-20%</v>
      </c>
    </row>
    <row r="754">
      <c r="A754" s="10">
        <v>45290</v>
      </c>
      <c r="B754" s="9" t="s">
        <v>828</v>
      </c>
      <c r="C754" s="9" t="s">
        <v>17</v>
      </c>
      <c r="D754" s="9" t="s">
        <v>9</v>
      </c>
      <c r="E754" s="9" t="s">
        <v>20</v>
      </c>
      <c r="F754" s="9" t="s">
        <v>74</v>
      </c>
      <c r="G754" s="9">
        <v>440.25999999999999</v>
      </c>
      <c r="H754" s="9">
        <v>14</v>
      </c>
      <c r="I754" s="9">
        <v>6163.6400000000003</v>
      </c>
      <c r="J754" s="9">
        <v>0.070000000000000007</v>
      </c>
      <c r="K754" s="9">
        <v>691.21000000000004</v>
      </c>
      <c r="L754" s="9" t="s">
        <v>55</v>
      </c>
      <c r="M754" s="9" t="str">
        <f t="shared" si="0"/>
        <v>10-20%</v>
      </c>
    </row>
    <row r="755">
      <c r="A755" s="10">
        <v>45086</v>
      </c>
      <c r="B755" s="9" t="s">
        <v>829</v>
      </c>
      <c r="C755" s="9" t="s">
        <v>14</v>
      </c>
      <c r="D755" s="9" t="s">
        <v>11</v>
      </c>
      <c r="E755" s="9" t="s">
        <v>22</v>
      </c>
      <c r="F755" s="9" t="s">
        <v>110</v>
      </c>
      <c r="G755" s="9">
        <v>144.34</v>
      </c>
      <c r="H755" s="9">
        <v>3</v>
      </c>
      <c r="I755" s="9">
        <v>433.01999999999998</v>
      </c>
      <c r="J755" s="9">
        <v>0.10000000000000001</v>
      </c>
      <c r="K755" s="9">
        <v>16.780000000000001</v>
      </c>
      <c r="L755" s="9" t="s">
        <v>55</v>
      </c>
      <c r="M755" s="9" t="str">
        <f t="shared" si="0"/>
        <v>0-10%</v>
      </c>
    </row>
    <row r="756">
      <c r="A756" s="10">
        <v>44992</v>
      </c>
      <c r="B756" s="9" t="s">
        <v>830</v>
      </c>
      <c r="C756" s="9" t="s">
        <v>17</v>
      </c>
      <c r="D756" s="9" t="s">
        <v>11</v>
      </c>
      <c r="E756" s="9" t="s">
        <v>20</v>
      </c>
      <c r="F756" s="9" t="s">
        <v>74</v>
      </c>
      <c r="G756" s="9">
        <v>71.939999999999998</v>
      </c>
      <c r="H756" s="9">
        <v>11</v>
      </c>
      <c r="I756" s="9">
        <v>791.34000000000003</v>
      </c>
      <c r="J756" s="9">
        <v>0.17000000000000001</v>
      </c>
      <c r="K756" s="9">
        <v>-43.740000000000002</v>
      </c>
      <c r="L756" s="9" t="s">
        <v>63</v>
      </c>
      <c r="M756" s="9" t="str">
        <f t="shared" si="0"/>
        <v>0-10%</v>
      </c>
    </row>
    <row r="757">
      <c r="A757" s="10">
        <v>45002</v>
      </c>
      <c r="B757" s="9" t="s">
        <v>831</v>
      </c>
      <c r="C757" s="9" t="s">
        <v>17</v>
      </c>
      <c r="D757" s="9" t="s">
        <v>12</v>
      </c>
      <c r="E757" s="9" t="s">
        <v>20</v>
      </c>
      <c r="F757" s="9" t="s">
        <v>74</v>
      </c>
      <c r="G757" s="9">
        <v>418.57999999999998</v>
      </c>
      <c r="H757" s="9">
        <v>15</v>
      </c>
      <c r="I757" s="9">
        <v>6278.6999999999998</v>
      </c>
      <c r="J757" s="9">
        <v>0.27000000000000002</v>
      </c>
      <c r="K757" s="9">
        <v>-1238.54</v>
      </c>
      <c r="L757" s="9" t="s">
        <v>72</v>
      </c>
      <c r="M757" s="9" t="str">
        <f t="shared" si="0"/>
        <v>10-20%</v>
      </c>
    </row>
    <row r="758">
      <c r="A758" s="10">
        <v>44954</v>
      </c>
      <c r="B758" s="9" t="s">
        <v>832</v>
      </c>
      <c r="C758" s="9" t="s">
        <v>17</v>
      </c>
      <c r="D758" s="9" t="s">
        <v>12</v>
      </c>
      <c r="E758" s="9" t="s">
        <v>19</v>
      </c>
      <c r="F758" s="9" t="s">
        <v>60</v>
      </c>
      <c r="G758" s="9">
        <v>164.94</v>
      </c>
      <c r="H758" s="9">
        <v>12</v>
      </c>
      <c r="I758" s="9">
        <v>1979.28</v>
      </c>
      <c r="J758" s="9">
        <v>0.29999999999999999</v>
      </c>
      <c r="K758" s="9">
        <v>-128.05000000000001</v>
      </c>
      <c r="L758" s="9" t="s">
        <v>55</v>
      </c>
      <c r="M758" s="9" t="str">
        <f t="shared" si="0"/>
        <v>20%+</v>
      </c>
    </row>
    <row r="759">
      <c r="A759" s="10">
        <v>45198</v>
      </c>
      <c r="B759" s="9" t="s">
        <v>833</v>
      </c>
      <c r="C759" s="9" t="s">
        <v>16</v>
      </c>
      <c r="D759" s="9" t="s">
        <v>8</v>
      </c>
      <c r="E759" s="9" t="s">
        <v>22</v>
      </c>
      <c r="F759" s="9" t="s">
        <v>71</v>
      </c>
      <c r="G759" s="9">
        <v>447.57999999999998</v>
      </c>
      <c r="H759" s="9">
        <v>6</v>
      </c>
      <c r="I759" s="9">
        <v>2685.48</v>
      </c>
      <c r="J759" s="9">
        <v>0.20999999999999999</v>
      </c>
      <c r="K759" s="9">
        <v>51.670000000000002</v>
      </c>
      <c r="L759" s="9" t="s">
        <v>63</v>
      </c>
      <c r="M759" s="9" t="str">
        <f t="shared" si="0"/>
        <v>20%+</v>
      </c>
    </row>
    <row r="760">
      <c r="A760" s="10">
        <v>45204</v>
      </c>
      <c r="B760" s="9" t="s">
        <v>834</v>
      </c>
      <c r="C760" s="9" t="s">
        <v>17</v>
      </c>
      <c r="D760" s="9" t="s">
        <v>8</v>
      </c>
      <c r="E760" s="9" t="s">
        <v>19</v>
      </c>
      <c r="F760" s="9" t="s">
        <v>98</v>
      </c>
      <c r="G760" s="9">
        <v>277.63</v>
      </c>
      <c r="H760" s="9">
        <v>10</v>
      </c>
      <c r="I760" s="9">
        <v>2776.3000000000002</v>
      </c>
      <c r="J760" s="9">
        <v>0.029999999999999999</v>
      </c>
      <c r="K760" s="9">
        <v>418.33999999999997</v>
      </c>
      <c r="L760" s="9" t="s">
        <v>72</v>
      </c>
      <c r="M760" s="9" t="str">
        <f t="shared" si="0"/>
        <v>20%+</v>
      </c>
    </row>
    <row r="761">
      <c r="A761" s="10">
        <v>44952</v>
      </c>
      <c r="B761" s="9" t="s">
        <v>835</v>
      </c>
      <c r="C761" s="9" t="s">
        <v>14</v>
      </c>
      <c r="D761" s="9" t="s">
        <v>8</v>
      </c>
      <c r="E761" s="9" t="s">
        <v>21</v>
      </c>
      <c r="F761" s="9" t="s">
        <v>96</v>
      </c>
      <c r="G761" s="9">
        <v>311.88999999999999</v>
      </c>
      <c r="H761" s="9">
        <v>9</v>
      </c>
      <c r="I761" s="9">
        <v>2807.0100000000002</v>
      </c>
      <c r="J761" s="9">
        <v>0.17999999999999999</v>
      </c>
      <c r="K761" s="9">
        <v>111.87</v>
      </c>
      <c r="L761" s="9" t="s">
        <v>55</v>
      </c>
      <c r="M761" s="9" t="str">
        <f t="shared" si="0"/>
        <v>0-10%</v>
      </c>
    </row>
    <row r="762">
      <c r="A762" s="10">
        <v>45100</v>
      </c>
      <c r="B762" s="9" t="s">
        <v>836</v>
      </c>
      <c r="C762" s="9" t="s">
        <v>16</v>
      </c>
      <c r="D762" s="9" t="s">
        <v>10</v>
      </c>
      <c r="E762" s="9" t="s">
        <v>19</v>
      </c>
      <c r="F762" s="9" t="s">
        <v>60</v>
      </c>
      <c r="G762" s="9">
        <v>277.81</v>
      </c>
      <c r="H762" s="9">
        <v>6</v>
      </c>
      <c r="I762" s="9">
        <v>1666.8599999999999</v>
      </c>
      <c r="J762" s="9">
        <v>0.01</v>
      </c>
      <c r="K762" s="9">
        <v>117.69</v>
      </c>
      <c r="L762" s="9" t="s">
        <v>58</v>
      </c>
      <c r="M762" s="9" t="str">
        <f t="shared" si="0"/>
        <v>10-20%</v>
      </c>
    </row>
    <row r="763">
      <c r="A763" s="10">
        <v>45214</v>
      </c>
      <c r="B763" s="9" t="s">
        <v>837</v>
      </c>
      <c r="C763" s="9" t="s">
        <v>14</v>
      </c>
      <c r="D763" s="9" t="s">
        <v>11</v>
      </c>
      <c r="E763" s="9" t="s">
        <v>22</v>
      </c>
      <c r="F763" s="9" t="s">
        <v>125</v>
      </c>
      <c r="G763" s="9">
        <v>380.38999999999999</v>
      </c>
      <c r="H763" s="9">
        <v>3</v>
      </c>
      <c r="I763" s="9">
        <v>1141.1700000000001</v>
      </c>
      <c r="J763" s="9">
        <v>0.16</v>
      </c>
      <c r="K763" s="9">
        <v>-32.07</v>
      </c>
      <c r="L763" s="9" t="s">
        <v>55</v>
      </c>
      <c r="M763" s="9" t="str">
        <f t="shared" si="0"/>
        <v>0-10%</v>
      </c>
    </row>
    <row r="764">
      <c r="A764" s="10">
        <v>45279</v>
      </c>
      <c r="B764" s="9" t="s">
        <v>838</v>
      </c>
      <c r="C764" s="9" t="s">
        <v>15</v>
      </c>
      <c r="D764" s="9" t="s">
        <v>8</v>
      </c>
      <c r="E764" s="9" t="s">
        <v>22</v>
      </c>
      <c r="F764" s="9" t="s">
        <v>54</v>
      </c>
      <c r="G764" s="9">
        <v>71.510000000000005</v>
      </c>
      <c r="H764" s="9">
        <v>9</v>
      </c>
      <c r="I764" s="9">
        <v>643.59000000000003</v>
      </c>
      <c r="J764" s="9">
        <v>0.28000000000000003</v>
      </c>
      <c r="K764" s="9">
        <v>-115</v>
      </c>
      <c r="L764" s="9" t="s">
        <v>72</v>
      </c>
      <c r="M764" s="9" t="str">
        <f t="shared" si="0"/>
        <v>10-20%</v>
      </c>
    </row>
    <row r="765">
      <c r="A765" s="10">
        <v>45211</v>
      </c>
      <c r="B765" s="9" t="s">
        <v>839</v>
      </c>
      <c r="C765" s="9" t="s">
        <v>14</v>
      </c>
      <c r="D765" s="9" t="s">
        <v>9</v>
      </c>
      <c r="E765" s="9" t="s">
        <v>20</v>
      </c>
      <c r="F765" s="9" t="s">
        <v>74</v>
      </c>
      <c r="G765" s="9">
        <v>234.88999999999999</v>
      </c>
      <c r="H765" s="9">
        <v>7</v>
      </c>
      <c r="I765" s="9">
        <v>1644.23</v>
      </c>
      <c r="J765" s="9">
        <v>0.10000000000000001</v>
      </c>
      <c r="K765" s="9">
        <v>-23.879999999999999</v>
      </c>
      <c r="L765" s="9" t="s">
        <v>58</v>
      </c>
      <c r="M765" s="9" t="str">
        <f t="shared" si="0"/>
        <v>20%+</v>
      </c>
    </row>
    <row r="766">
      <c r="A766" s="10">
        <v>45062</v>
      </c>
      <c r="B766" s="9" t="s">
        <v>840</v>
      </c>
      <c r="C766" s="9" t="s">
        <v>16</v>
      </c>
      <c r="D766" s="9" t="s">
        <v>10</v>
      </c>
      <c r="E766" s="9" t="s">
        <v>20</v>
      </c>
      <c r="F766" s="9" t="s">
        <v>80</v>
      </c>
      <c r="G766" s="9">
        <v>256.22000000000003</v>
      </c>
      <c r="H766" s="9">
        <v>10</v>
      </c>
      <c r="I766" s="9">
        <v>2562.1999999999998</v>
      </c>
      <c r="J766" s="9">
        <v>0.040000000000000001</v>
      </c>
      <c r="K766" s="9">
        <v>82.650000000000006</v>
      </c>
      <c r="L766" s="9" t="s">
        <v>58</v>
      </c>
      <c r="M766" s="9" t="str">
        <f t="shared" si="0"/>
        <v>0-10%</v>
      </c>
    </row>
    <row r="767">
      <c r="A767" s="10">
        <v>45093</v>
      </c>
      <c r="B767" s="9" t="s">
        <v>841</v>
      </c>
      <c r="C767" s="9" t="s">
        <v>17</v>
      </c>
      <c r="D767" s="9" t="s">
        <v>12</v>
      </c>
      <c r="E767" s="9" t="s">
        <v>19</v>
      </c>
      <c r="F767" s="9" t="s">
        <v>57</v>
      </c>
      <c r="G767" s="9">
        <v>383.30000000000001</v>
      </c>
      <c r="H767" s="9">
        <v>1</v>
      </c>
      <c r="I767" s="9">
        <v>383.30000000000001</v>
      </c>
      <c r="J767" s="9">
        <v>0.02</v>
      </c>
      <c r="K767" s="9">
        <v>33.729999999999997</v>
      </c>
      <c r="L767" s="9" t="s">
        <v>55</v>
      </c>
      <c r="M767" s="9" t="str">
        <f t="shared" si="0"/>
        <v>0-10%</v>
      </c>
    </row>
    <row r="768">
      <c r="A768" s="10">
        <v>44958</v>
      </c>
      <c r="B768" s="9" t="s">
        <v>842</v>
      </c>
      <c r="C768" s="9" t="s">
        <v>16</v>
      </c>
      <c r="D768" s="9" t="s">
        <v>8</v>
      </c>
      <c r="E768" s="9" t="s">
        <v>19</v>
      </c>
      <c r="F768" s="9" t="s">
        <v>62</v>
      </c>
      <c r="G768" s="9">
        <v>125.18000000000001</v>
      </c>
      <c r="H768" s="9">
        <v>2</v>
      </c>
      <c r="I768" s="9">
        <v>250.36000000000001</v>
      </c>
      <c r="J768" s="9">
        <v>0.12</v>
      </c>
      <c r="K768" s="9">
        <v>-1.8600000000000001</v>
      </c>
      <c r="L768" s="9" t="s">
        <v>72</v>
      </c>
      <c r="M768" s="9" t="str">
        <f t="shared" si="0"/>
        <v>0-10%</v>
      </c>
    </row>
    <row r="769">
      <c r="A769" s="10">
        <v>45127</v>
      </c>
      <c r="B769" s="9" t="s">
        <v>843</v>
      </c>
      <c r="C769" s="9" t="s">
        <v>17</v>
      </c>
      <c r="D769" s="9" t="s">
        <v>12</v>
      </c>
      <c r="E769" s="9" t="s">
        <v>21</v>
      </c>
      <c r="F769" s="9" t="s">
        <v>88</v>
      </c>
      <c r="G769" s="9">
        <v>165.09999999999999</v>
      </c>
      <c r="H769" s="9">
        <v>2</v>
      </c>
      <c r="I769" s="9">
        <v>330.19999999999999</v>
      </c>
      <c r="J769" s="9">
        <v>0.13</v>
      </c>
      <c r="K769" s="9">
        <v>1.1599999999999999</v>
      </c>
      <c r="L769" s="9" t="s">
        <v>72</v>
      </c>
      <c r="M769" s="9" t="str">
        <f t="shared" si="0"/>
        <v>10-20%</v>
      </c>
    </row>
    <row r="770">
      <c r="A770" s="10">
        <v>45028</v>
      </c>
      <c r="B770" s="9" t="s">
        <v>844</v>
      </c>
      <c r="C770" s="9" t="s">
        <v>17</v>
      </c>
      <c r="D770" s="9" t="s">
        <v>8</v>
      </c>
      <c r="E770" s="9" t="s">
        <v>19</v>
      </c>
      <c r="F770" s="9" t="s">
        <v>98</v>
      </c>
      <c r="G770" s="9">
        <v>356.38</v>
      </c>
      <c r="H770" s="9">
        <v>7</v>
      </c>
      <c r="I770" s="9">
        <v>2494.6599999999999</v>
      </c>
      <c r="J770" s="9">
        <v>0.01</v>
      </c>
      <c r="K770" s="9">
        <v>452.19999999999999</v>
      </c>
      <c r="L770" s="9" t="s">
        <v>63</v>
      </c>
      <c r="M770" s="9" t="str">
        <f t="shared" si="0"/>
        <v>10-20%</v>
      </c>
    </row>
    <row r="771">
      <c r="A771" s="10">
        <v>45120</v>
      </c>
      <c r="B771" s="9" t="s">
        <v>845</v>
      </c>
      <c r="C771" s="9" t="s">
        <v>17</v>
      </c>
      <c r="D771" s="9" t="s">
        <v>10</v>
      </c>
      <c r="E771" s="9" t="s">
        <v>19</v>
      </c>
      <c r="F771" s="9" t="s">
        <v>62</v>
      </c>
      <c r="G771" s="9">
        <v>472.05000000000001</v>
      </c>
      <c r="H771" s="9">
        <v>2</v>
      </c>
      <c r="I771" s="9">
        <v>944.10000000000002</v>
      </c>
      <c r="J771" s="9">
        <v>0.17000000000000001</v>
      </c>
      <c r="K771" s="9">
        <v>-0.39000000000000001</v>
      </c>
      <c r="L771" s="9" t="s">
        <v>55</v>
      </c>
      <c r="M771" s="9" t="str">
        <f t="shared" si="0"/>
        <v>0-10%</v>
      </c>
    </row>
    <row r="772">
      <c r="A772" s="10">
        <v>45089</v>
      </c>
      <c r="B772" s="9" t="s">
        <v>846</v>
      </c>
      <c r="C772" s="9" t="s">
        <v>15</v>
      </c>
      <c r="D772" s="9" t="s">
        <v>8</v>
      </c>
      <c r="E772" s="9" t="s">
        <v>22</v>
      </c>
      <c r="F772" s="9" t="s">
        <v>84</v>
      </c>
      <c r="G772" s="9">
        <v>452.72000000000003</v>
      </c>
      <c r="H772" s="9">
        <v>2</v>
      </c>
      <c r="I772" s="9">
        <v>905.44000000000005</v>
      </c>
      <c r="J772" s="9">
        <v>0.040000000000000001</v>
      </c>
      <c r="K772" s="9">
        <v>106.03</v>
      </c>
      <c r="L772" s="9" t="s">
        <v>72</v>
      </c>
      <c r="M772" s="9" t="str">
        <f t="shared" si="0"/>
        <v>10-20%</v>
      </c>
    </row>
    <row r="773">
      <c r="A773" s="10">
        <v>45136</v>
      </c>
      <c r="B773" s="9" t="s">
        <v>847</v>
      </c>
      <c r="C773" s="9" t="s">
        <v>16</v>
      </c>
      <c r="D773" s="9" t="s">
        <v>11</v>
      </c>
      <c r="E773" s="9" t="s">
        <v>20</v>
      </c>
      <c r="F773" s="9" t="s">
        <v>65</v>
      </c>
      <c r="G773" s="9">
        <v>478.50999999999999</v>
      </c>
      <c r="H773" s="9">
        <v>2</v>
      </c>
      <c r="I773" s="9">
        <v>957.01999999999998</v>
      </c>
      <c r="J773" s="9">
        <v>0.070000000000000007</v>
      </c>
      <c r="K773" s="9">
        <v>55.700000000000003</v>
      </c>
      <c r="L773" s="9" t="s">
        <v>58</v>
      </c>
      <c r="M773" s="9" t="str">
        <f t="shared" si="0"/>
        <v>0-10%</v>
      </c>
    </row>
    <row r="774">
      <c r="A774" s="10">
        <v>45235</v>
      </c>
      <c r="B774" s="9" t="s">
        <v>848</v>
      </c>
      <c r="C774" s="9" t="s">
        <v>17</v>
      </c>
      <c r="D774" s="9" t="s">
        <v>10</v>
      </c>
      <c r="E774" s="9" t="s">
        <v>19</v>
      </c>
      <c r="F774" s="9" t="s">
        <v>60</v>
      </c>
      <c r="G774" s="9">
        <v>323.36000000000001</v>
      </c>
      <c r="H774" s="9">
        <v>4</v>
      </c>
      <c r="I774" s="9">
        <v>1293.4400000000001</v>
      </c>
      <c r="J774" s="9">
        <v>0.040000000000000001</v>
      </c>
      <c r="K774" s="9">
        <v>77.310000000000002</v>
      </c>
      <c r="L774" s="9" t="s">
        <v>58</v>
      </c>
      <c r="M774" s="9" t="str">
        <f t="shared" si="0"/>
        <v>0-10%</v>
      </c>
    </row>
    <row r="775">
      <c r="A775" s="10">
        <v>45162</v>
      </c>
      <c r="B775" s="9" t="s">
        <v>849</v>
      </c>
      <c r="C775" s="9" t="s">
        <v>17</v>
      </c>
      <c r="D775" s="9" t="s">
        <v>9</v>
      </c>
      <c r="E775" s="9" t="s">
        <v>22</v>
      </c>
      <c r="F775" s="9" t="s">
        <v>54</v>
      </c>
      <c r="G775" s="9">
        <v>18.469999999999999</v>
      </c>
      <c r="H775" s="9">
        <v>4</v>
      </c>
      <c r="I775" s="9">
        <v>73.879999999999995</v>
      </c>
      <c r="J775" s="9">
        <v>0</v>
      </c>
      <c r="K775" s="9">
        <v>18.34</v>
      </c>
      <c r="L775" s="9" t="s">
        <v>55</v>
      </c>
      <c r="M775" s="9" t="str">
        <f t="shared" si="0"/>
        <v>0-10%</v>
      </c>
    </row>
    <row r="776">
      <c r="A776" s="10">
        <v>45113</v>
      </c>
      <c r="B776" s="9" t="s">
        <v>850</v>
      </c>
      <c r="C776" s="9" t="s">
        <v>16</v>
      </c>
      <c r="D776" s="9" t="s">
        <v>12</v>
      </c>
      <c r="E776" s="9" t="s">
        <v>20</v>
      </c>
      <c r="F776" s="9" t="s">
        <v>80</v>
      </c>
      <c r="G776" s="9">
        <v>450.41000000000003</v>
      </c>
      <c r="H776" s="9">
        <v>7</v>
      </c>
      <c r="I776" s="9">
        <v>3152.8699999999999</v>
      </c>
      <c r="J776" s="9">
        <v>0.25</v>
      </c>
      <c r="K776" s="9">
        <v>-601.62</v>
      </c>
      <c r="L776" s="9" t="s">
        <v>55</v>
      </c>
      <c r="M776" s="9" t="str">
        <f t="shared" si="0"/>
        <v>0-10%</v>
      </c>
    </row>
    <row r="777">
      <c r="A777" s="10">
        <v>45112</v>
      </c>
      <c r="B777" s="9" t="s">
        <v>851</v>
      </c>
      <c r="C777" s="9" t="s">
        <v>14</v>
      </c>
      <c r="D777" s="9" t="s">
        <v>11</v>
      </c>
      <c r="E777" s="9" t="s">
        <v>19</v>
      </c>
      <c r="F777" s="9" t="s">
        <v>67</v>
      </c>
      <c r="G777" s="9">
        <v>66.079999999999998</v>
      </c>
      <c r="H777" s="9">
        <v>11</v>
      </c>
      <c r="I777" s="9">
        <v>726.88</v>
      </c>
      <c r="J777" s="9">
        <v>0.029999999999999999</v>
      </c>
      <c r="K777" s="9">
        <v>85.650000000000006</v>
      </c>
      <c r="L777" s="9" t="s">
        <v>63</v>
      </c>
      <c r="M777" s="9" t="str">
        <f t="shared" si="0"/>
        <v>20%+</v>
      </c>
    </row>
    <row r="778">
      <c r="A778" s="10">
        <v>44995</v>
      </c>
      <c r="B778" s="9" t="s">
        <v>852</v>
      </c>
      <c r="C778" s="9" t="s">
        <v>15</v>
      </c>
      <c r="D778" s="9" t="s">
        <v>8</v>
      </c>
      <c r="E778" s="9" t="s">
        <v>22</v>
      </c>
      <c r="F778" s="9" t="s">
        <v>84</v>
      </c>
      <c r="G778" s="9">
        <v>473.82999999999998</v>
      </c>
      <c r="H778" s="9">
        <v>2</v>
      </c>
      <c r="I778" s="9">
        <v>947.65999999999997</v>
      </c>
      <c r="J778" s="9">
        <v>0.11</v>
      </c>
      <c r="K778" s="9">
        <v>90.150000000000006</v>
      </c>
      <c r="L778" s="9" t="s">
        <v>72</v>
      </c>
      <c r="M778" s="9" t="str">
        <f t="shared" si="0"/>
        <v>0-10%</v>
      </c>
    </row>
    <row r="779">
      <c r="A779" s="10">
        <v>44955</v>
      </c>
      <c r="B779" s="9" t="s">
        <v>853</v>
      </c>
      <c r="C779" s="9" t="s">
        <v>15</v>
      </c>
      <c r="D779" s="9" t="s">
        <v>8</v>
      </c>
      <c r="E779" s="9" t="s">
        <v>22</v>
      </c>
      <c r="F779" s="9" t="s">
        <v>54</v>
      </c>
      <c r="G779" s="9">
        <v>70.390000000000001</v>
      </c>
      <c r="H779" s="9">
        <v>2</v>
      </c>
      <c r="I779" s="9">
        <v>140.78</v>
      </c>
      <c r="J779" s="9">
        <v>0</v>
      </c>
      <c r="K779" s="9">
        <v>7.2800000000000002</v>
      </c>
      <c r="L779" s="9" t="s">
        <v>72</v>
      </c>
      <c r="M779" s="9" t="str">
        <f t="shared" si="0"/>
        <v>10-20%</v>
      </c>
    </row>
    <row r="780">
      <c r="A780" s="10">
        <v>44960</v>
      </c>
      <c r="B780" s="9" t="s">
        <v>854</v>
      </c>
      <c r="C780" s="9" t="s">
        <v>14</v>
      </c>
      <c r="D780" s="9" t="s">
        <v>9</v>
      </c>
      <c r="E780" s="9" t="s">
        <v>21</v>
      </c>
      <c r="F780" s="9" t="s">
        <v>96</v>
      </c>
      <c r="G780" s="9">
        <v>423.08999999999997</v>
      </c>
      <c r="H780" s="9">
        <v>15</v>
      </c>
      <c r="I780" s="9">
        <v>6346.3500000000004</v>
      </c>
      <c r="J780" s="9">
        <v>0.14999999999999999</v>
      </c>
      <c r="K780" s="9">
        <v>129.81</v>
      </c>
      <c r="L780" s="9" t="s">
        <v>55</v>
      </c>
      <c r="M780" s="9" t="str">
        <f t="shared" si="0"/>
        <v>0-10%</v>
      </c>
    </row>
    <row r="781">
      <c r="A781" s="10">
        <v>45148</v>
      </c>
      <c r="B781" s="9" t="s">
        <v>855</v>
      </c>
      <c r="C781" s="9" t="s">
        <v>15</v>
      </c>
      <c r="D781" s="9" t="s">
        <v>12</v>
      </c>
      <c r="E781" s="9" t="s">
        <v>22</v>
      </c>
      <c r="F781" s="9" t="s">
        <v>84</v>
      </c>
      <c r="G781" s="9">
        <v>258.79000000000002</v>
      </c>
      <c r="H781" s="9">
        <v>11</v>
      </c>
      <c r="I781" s="9">
        <v>2846.6900000000001</v>
      </c>
      <c r="J781" s="9">
        <v>0.050000000000000003</v>
      </c>
      <c r="K781" s="9">
        <v>555.22000000000003</v>
      </c>
      <c r="L781" s="9" t="s">
        <v>55</v>
      </c>
      <c r="M781" s="9" t="str">
        <f t="shared" si="0"/>
        <v>10-20%</v>
      </c>
    </row>
    <row r="782">
      <c r="A782" s="10">
        <v>45263</v>
      </c>
      <c r="B782" s="9" t="s">
        <v>856</v>
      </c>
      <c r="C782" s="9" t="s">
        <v>15</v>
      </c>
      <c r="D782" s="9" t="s">
        <v>12</v>
      </c>
      <c r="E782" s="9" t="s">
        <v>21</v>
      </c>
      <c r="F782" s="9" t="s">
        <v>78</v>
      </c>
      <c r="G782" s="9">
        <v>294.87</v>
      </c>
      <c r="H782" s="9">
        <v>12</v>
      </c>
      <c r="I782" s="9">
        <v>3538.4400000000001</v>
      </c>
      <c r="J782" s="9">
        <v>0.28999999999999998</v>
      </c>
      <c r="K782" s="9">
        <v>-521.21000000000004</v>
      </c>
      <c r="L782" s="9" t="s">
        <v>72</v>
      </c>
      <c r="M782" s="9" t="str">
        <f t="shared" si="0"/>
        <v>0-10%</v>
      </c>
    </row>
    <row r="783">
      <c r="A783" s="10">
        <v>45175</v>
      </c>
      <c r="B783" s="9" t="s">
        <v>857</v>
      </c>
      <c r="C783" s="9" t="s">
        <v>15</v>
      </c>
      <c r="D783" s="9" t="s">
        <v>8</v>
      </c>
      <c r="E783" s="9" t="s">
        <v>19</v>
      </c>
      <c r="F783" s="9" t="s">
        <v>98</v>
      </c>
      <c r="G783" s="9">
        <v>397.06</v>
      </c>
      <c r="H783" s="9">
        <v>3</v>
      </c>
      <c r="I783" s="9">
        <v>1191.1800000000001</v>
      </c>
      <c r="J783" s="9">
        <v>0.089999999999999997</v>
      </c>
      <c r="K783" s="9">
        <v>63.850000000000001</v>
      </c>
      <c r="L783" s="9" t="s">
        <v>72</v>
      </c>
      <c r="M783" s="9" t="str">
        <f t="shared" si="0"/>
        <v>20%+</v>
      </c>
    </row>
    <row r="784">
      <c r="A784" s="10">
        <v>44969</v>
      </c>
      <c r="B784" s="9" t="s">
        <v>858</v>
      </c>
      <c r="C784" s="9" t="s">
        <v>16</v>
      </c>
      <c r="D784" s="9" t="s">
        <v>9</v>
      </c>
      <c r="E784" s="9" t="s">
        <v>20</v>
      </c>
      <c r="F784" s="9" t="s">
        <v>65</v>
      </c>
      <c r="G784" s="9">
        <v>326.39999999999998</v>
      </c>
      <c r="H784" s="9">
        <v>11</v>
      </c>
      <c r="I784" s="9">
        <v>3590.4000000000001</v>
      </c>
      <c r="J784" s="9">
        <v>0.080000000000000002</v>
      </c>
      <c r="K784" s="9">
        <v>407.42000000000002</v>
      </c>
      <c r="L784" s="9" t="s">
        <v>63</v>
      </c>
      <c r="M784" s="9" t="str">
        <f t="shared" si="0"/>
        <v>0-10%</v>
      </c>
    </row>
    <row r="785">
      <c r="A785" s="10">
        <v>45173</v>
      </c>
      <c r="B785" s="9" t="s">
        <v>859</v>
      </c>
      <c r="C785" s="9" t="s">
        <v>15</v>
      </c>
      <c r="D785" s="9" t="s">
        <v>10</v>
      </c>
      <c r="E785" s="9" t="s">
        <v>19</v>
      </c>
      <c r="F785" s="9" t="s">
        <v>57</v>
      </c>
      <c r="G785" s="9">
        <v>269.49000000000001</v>
      </c>
      <c r="H785" s="9">
        <v>3</v>
      </c>
      <c r="I785" s="9">
        <v>808.47000000000003</v>
      </c>
      <c r="J785" s="9">
        <v>0.040000000000000001</v>
      </c>
      <c r="K785" s="9">
        <v>68.769999999999996</v>
      </c>
      <c r="L785" s="9" t="s">
        <v>63</v>
      </c>
      <c r="M785" s="9" t="str">
        <f t="shared" si="0"/>
        <v>0-10%</v>
      </c>
    </row>
    <row r="786">
      <c r="A786" s="10">
        <v>45287</v>
      </c>
      <c r="B786" s="9" t="s">
        <v>860</v>
      </c>
      <c r="C786" s="9" t="s">
        <v>15</v>
      </c>
      <c r="D786" s="9" t="s">
        <v>12</v>
      </c>
      <c r="E786" s="9" t="s">
        <v>21</v>
      </c>
      <c r="F786" s="9" t="s">
        <v>76</v>
      </c>
      <c r="G786" s="9">
        <v>172.5</v>
      </c>
      <c r="H786" s="9">
        <v>5</v>
      </c>
      <c r="I786" s="9">
        <v>862.5</v>
      </c>
      <c r="J786" s="9">
        <v>0.14000000000000001</v>
      </c>
      <c r="K786" s="9">
        <v>-7.2000000000000002</v>
      </c>
      <c r="L786" s="9" t="s">
        <v>55</v>
      </c>
      <c r="M786" s="9" t="str">
        <f t="shared" si="0"/>
        <v>0-10%</v>
      </c>
    </row>
    <row r="787">
      <c r="A787" s="10">
        <v>45105</v>
      </c>
      <c r="B787" s="9" t="s">
        <v>861</v>
      </c>
      <c r="C787" s="9" t="s">
        <v>15</v>
      </c>
      <c r="D787" s="9" t="s">
        <v>10</v>
      </c>
      <c r="E787" s="9" t="s">
        <v>22</v>
      </c>
      <c r="F787" s="9" t="s">
        <v>54</v>
      </c>
      <c r="G787" s="9">
        <v>409</v>
      </c>
      <c r="H787" s="9">
        <v>10</v>
      </c>
      <c r="I787" s="9">
        <v>4090</v>
      </c>
      <c r="J787" s="9">
        <v>0.040000000000000001</v>
      </c>
      <c r="K787" s="9">
        <v>262.44999999999999</v>
      </c>
      <c r="L787" s="9" t="s">
        <v>72</v>
      </c>
      <c r="M787" s="9" t="str">
        <f t="shared" si="0"/>
        <v>10-20%</v>
      </c>
    </row>
    <row r="788">
      <c r="A788" s="10">
        <v>45287</v>
      </c>
      <c r="B788" s="9" t="s">
        <v>862</v>
      </c>
      <c r="C788" s="9" t="s">
        <v>16</v>
      </c>
      <c r="D788" s="9" t="s">
        <v>12</v>
      </c>
      <c r="E788" s="9" t="s">
        <v>20</v>
      </c>
      <c r="F788" s="9" t="s">
        <v>74</v>
      </c>
      <c r="G788" s="9">
        <v>414.44999999999999</v>
      </c>
      <c r="H788" s="9">
        <v>2</v>
      </c>
      <c r="I788" s="9">
        <v>828.89999999999998</v>
      </c>
      <c r="J788" s="9">
        <v>0.11</v>
      </c>
      <c r="K788" s="9">
        <v>-28.690000000000001</v>
      </c>
      <c r="L788" s="9" t="s">
        <v>55</v>
      </c>
      <c r="M788" s="9" t="str">
        <f t="shared" si="0"/>
        <v>0-10%</v>
      </c>
    </row>
    <row r="789">
      <c r="A789" s="10">
        <v>45201</v>
      </c>
      <c r="B789" s="9" t="s">
        <v>863</v>
      </c>
      <c r="C789" s="9" t="s">
        <v>16</v>
      </c>
      <c r="D789" s="9" t="s">
        <v>10</v>
      </c>
      <c r="E789" s="9" t="s">
        <v>20</v>
      </c>
      <c r="F789" s="9" t="s">
        <v>69</v>
      </c>
      <c r="G789" s="9">
        <v>235.05000000000001</v>
      </c>
      <c r="H789" s="9">
        <v>5</v>
      </c>
      <c r="I789" s="9">
        <v>1175.25</v>
      </c>
      <c r="J789" s="9">
        <v>0.28000000000000003</v>
      </c>
      <c r="K789" s="9">
        <v>-69.819999999999993</v>
      </c>
      <c r="L789" s="9" t="s">
        <v>72</v>
      </c>
      <c r="M789" s="9" t="str">
        <f t="shared" si="0"/>
        <v>10-20%</v>
      </c>
    </row>
    <row r="790">
      <c r="A790" s="10">
        <v>45173</v>
      </c>
      <c r="B790" s="9" t="s">
        <v>864</v>
      </c>
      <c r="C790" s="9" t="s">
        <v>15</v>
      </c>
      <c r="D790" s="9" t="s">
        <v>12</v>
      </c>
      <c r="E790" s="9" t="s">
        <v>21</v>
      </c>
      <c r="F790" s="9" t="s">
        <v>96</v>
      </c>
      <c r="G790" s="9">
        <v>206.69</v>
      </c>
      <c r="H790" s="9">
        <v>10</v>
      </c>
      <c r="I790" s="9">
        <v>2066.9000000000001</v>
      </c>
      <c r="J790" s="9">
        <v>0.27000000000000002</v>
      </c>
      <c r="K790" s="9">
        <v>-112.01000000000001</v>
      </c>
      <c r="L790" s="9" t="s">
        <v>72</v>
      </c>
      <c r="M790" s="9" t="str">
        <f t="shared" si="0"/>
        <v>20%+</v>
      </c>
    </row>
    <row r="791">
      <c r="A791" s="10">
        <v>45057</v>
      </c>
      <c r="B791" s="9" t="s">
        <v>865</v>
      </c>
      <c r="C791" s="9" t="s">
        <v>17</v>
      </c>
      <c r="D791" s="9" t="s">
        <v>9</v>
      </c>
      <c r="E791" s="9" t="s">
        <v>19</v>
      </c>
      <c r="F791" s="9" t="s">
        <v>57</v>
      </c>
      <c r="G791" s="9">
        <v>337.06999999999999</v>
      </c>
      <c r="H791" s="9">
        <v>2</v>
      </c>
      <c r="I791" s="9">
        <v>674.13999999999999</v>
      </c>
      <c r="J791" s="9">
        <v>0.25</v>
      </c>
      <c r="K791" s="9">
        <v>-96.680000000000007</v>
      </c>
      <c r="L791" s="9" t="s">
        <v>63</v>
      </c>
      <c r="M791" s="9" t="str">
        <f t="shared" si="0"/>
        <v>20%+</v>
      </c>
    </row>
    <row r="792">
      <c r="A792" s="10">
        <v>45141</v>
      </c>
      <c r="B792" s="9" t="s">
        <v>866</v>
      </c>
      <c r="C792" s="9" t="s">
        <v>17</v>
      </c>
      <c r="D792" s="9" t="s">
        <v>12</v>
      </c>
      <c r="E792" s="9" t="s">
        <v>19</v>
      </c>
      <c r="F792" s="9" t="s">
        <v>98</v>
      </c>
      <c r="G792" s="9">
        <v>98.230000000000004</v>
      </c>
      <c r="H792" s="9">
        <v>1</v>
      </c>
      <c r="I792" s="9">
        <v>98.230000000000004</v>
      </c>
      <c r="J792" s="9">
        <v>0</v>
      </c>
      <c r="K792" s="9">
        <v>17.920000000000002</v>
      </c>
      <c r="L792" s="9" t="s">
        <v>63</v>
      </c>
      <c r="M792" s="9" t="str">
        <f t="shared" si="0"/>
        <v>20%+</v>
      </c>
    </row>
    <row r="793">
      <c r="A793" s="10">
        <v>45195</v>
      </c>
      <c r="B793" s="9" t="s">
        <v>867</v>
      </c>
      <c r="C793" s="9" t="s">
        <v>15</v>
      </c>
      <c r="D793" s="9" t="s">
        <v>12</v>
      </c>
      <c r="E793" s="9" t="s">
        <v>21</v>
      </c>
      <c r="F793" s="9" t="s">
        <v>96</v>
      </c>
      <c r="G793" s="9">
        <v>326.22000000000003</v>
      </c>
      <c r="H793" s="9">
        <v>12</v>
      </c>
      <c r="I793" s="9">
        <v>3914.6399999999999</v>
      </c>
      <c r="J793" s="9">
        <v>0.089999999999999997</v>
      </c>
      <c r="K793" s="9">
        <v>44.210000000000001</v>
      </c>
      <c r="L793" s="9" t="s">
        <v>55</v>
      </c>
      <c r="M793" s="9" t="str">
        <f t="shared" si="0"/>
        <v>0-10%</v>
      </c>
    </row>
    <row r="794">
      <c r="A794" s="10">
        <v>45189</v>
      </c>
      <c r="B794" s="9" t="s">
        <v>868</v>
      </c>
      <c r="C794" s="9" t="s">
        <v>14</v>
      </c>
      <c r="D794" s="9" t="s">
        <v>8</v>
      </c>
      <c r="E794" s="9" t="s">
        <v>20</v>
      </c>
      <c r="F794" s="9" t="s">
        <v>101</v>
      </c>
      <c r="G794" s="9">
        <v>366.04000000000002</v>
      </c>
      <c r="H794" s="9">
        <v>8</v>
      </c>
      <c r="I794" s="9">
        <v>2928.3200000000002</v>
      </c>
      <c r="J794" s="9">
        <v>0.19</v>
      </c>
      <c r="K794" s="9">
        <v>-63.149999999999999</v>
      </c>
      <c r="L794" s="9" t="s">
        <v>72</v>
      </c>
      <c r="M794" s="9" t="str">
        <f t="shared" si="0"/>
        <v>0-10%</v>
      </c>
    </row>
    <row r="795">
      <c r="A795" s="10">
        <v>45283</v>
      </c>
      <c r="B795" s="9" t="s">
        <v>869</v>
      </c>
      <c r="C795" s="9" t="s">
        <v>17</v>
      </c>
      <c r="D795" s="9" t="s">
        <v>9</v>
      </c>
      <c r="E795" s="9" t="s">
        <v>20</v>
      </c>
      <c r="F795" s="9" t="s">
        <v>101</v>
      </c>
      <c r="G795" s="9">
        <v>397.16000000000003</v>
      </c>
      <c r="H795" s="9">
        <v>5</v>
      </c>
      <c r="I795" s="9">
        <v>1985.8</v>
      </c>
      <c r="J795" s="9">
        <v>0.28999999999999998</v>
      </c>
      <c r="K795" s="9">
        <v>-473.80000000000001</v>
      </c>
      <c r="L795" s="9" t="s">
        <v>63</v>
      </c>
      <c r="M795" s="9" t="str">
        <f t="shared" si="0"/>
        <v>10-20%</v>
      </c>
    </row>
    <row r="796">
      <c r="A796" s="10">
        <v>44986</v>
      </c>
      <c r="B796" s="9" t="s">
        <v>870</v>
      </c>
      <c r="C796" s="9" t="s">
        <v>15</v>
      </c>
      <c r="D796" s="9" t="s">
        <v>10</v>
      </c>
      <c r="E796" s="9" t="s">
        <v>19</v>
      </c>
      <c r="F796" s="9" t="s">
        <v>60</v>
      </c>
      <c r="G796" s="9">
        <v>364.75999999999999</v>
      </c>
      <c r="H796" s="9">
        <v>13</v>
      </c>
      <c r="I796" s="9">
        <v>4741.8800000000001</v>
      </c>
      <c r="J796" s="9">
        <v>0.25</v>
      </c>
      <c r="K796" s="9">
        <v>-37.509999999999998</v>
      </c>
      <c r="L796" s="9" t="s">
        <v>55</v>
      </c>
      <c r="M796" s="9" t="str">
        <f t="shared" si="0"/>
        <v>20%+</v>
      </c>
    </row>
    <row r="797">
      <c r="A797" s="10">
        <v>45259</v>
      </c>
      <c r="B797" s="9" t="s">
        <v>871</v>
      </c>
      <c r="C797" s="9" t="s">
        <v>15</v>
      </c>
      <c r="D797" s="9" t="s">
        <v>10</v>
      </c>
      <c r="E797" s="9" t="s">
        <v>22</v>
      </c>
      <c r="F797" s="9" t="s">
        <v>84</v>
      </c>
      <c r="G797" s="9">
        <v>383.64999999999998</v>
      </c>
      <c r="H797" s="9">
        <v>2</v>
      </c>
      <c r="I797" s="9">
        <v>767.29999999999995</v>
      </c>
      <c r="J797" s="9">
        <v>0.080000000000000002</v>
      </c>
      <c r="K797" s="9">
        <v>-15.66</v>
      </c>
      <c r="L797" s="9" t="s">
        <v>58</v>
      </c>
      <c r="M797" s="9" t="str">
        <f t="shared" si="0"/>
        <v>20%+</v>
      </c>
    </row>
    <row r="798">
      <c r="A798" s="10">
        <v>45015</v>
      </c>
      <c r="B798" s="9" t="s">
        <v>872</v>
      </c>
      <c r="C798" s="9" t="s">
        <v>14</v>
      </c>
      <c r="D798" s="9" t="s">
        <v>9</v>
      </c>
      <c r="E798" s="9" t="s">
        <v>19</v>
      </c>
      <c r="F798" s="9" t="s">
        <v>98</v>
      </c>
      <c r="G798" s="9">
        <v>48.520000000000003</v>
      </c>
      <c r="H798" s="9">
        <v>1</v>
      </c>
      <c r="I798" s="9">
        <v>48.520000000000003</v>
      </c>
      <c r="J798" s="9">
        <v>0</v>
      </c>
      <c r="K798" s="9">
        <v>11.109999999999999</v>
      </c>
      <c r="L798" s="9" t="s">
        <v>55</v>
      </c>
      <c r="M798" s="9" t="str">
        <f t="shared" si="0"/>
        <v>0-10%</v>
      </c>
    </row>
    <row r="799">
      <c r="A799" s="10">
        <v>45273</v>
      </c>
      <c r="B799" s="9" t="s">
        <v>873</v>
      </c>
      <c r="C799" s="9" t="s">
        <v>14</v>
      </c>
      <c r="D799" s="9" t="s">
        <v>8</v>
      </c>
      <c r="E799" s="9" t="s">
        <v>20</v>
      </c>
      <c r="F799" s="9" t="s">
        <v>74</v>
      </c>
      <c r="G799" s="9">
        <v>356.06</v>
      </c>
      <c r="H799" s="9">
        <v>2</v>
      </c>
      <c r="I799" s="9">
        <v>712.12</v>
      </c>
      <c r="J799" s="9">
        <v>0.029999999999999999</v>
      </c>
      <c r="K799" s="9">
        <v>154.50999999999999</v>
      </c>
      <c r="L799" s="9" t="s">
        <v>55</v>
      </c>
      <c r="M799" s="9" t="str">
        <f t="shared" si="0"/>
        <v>0-10%</v>
      </c>
    </row>
    <row r="800">
      <c r="A800" s="10">
        <v>45158</v>
      </c>
      <c r="B800" s="9" t="s">
        <v>874</v>
      </c>
      <c r="C800" s="9" t="s">
        <v>14</v>
      </c>
      <c r="D800" s="9" t="s">
        <v>11</v>
      </c>
      <c r="E800" s="9" t="s">
        <v>19</v>
      </c>
      <c r="F800" s="9" t="s">
        <v>57</v>
      </c>
      <c r="G800" s="9">
        <v>170.93000000000001</v>
      </c>
      <c r="H800" s="9">
        <v>8</v>
      </c>
      <c r="I800" s="9">
        <v>1367.4400000000001</v>
      </c>
      <c r="J800" s="9">
        <v>0.16</v>
      </c>
      <c r="K800" s="9">
        <v>-60.270000000000003</v>
      </c>
      <c r="L800" s="9" t="s">
        <v>63</v>
      </c>
      <c r="M800" s="9" t="str">
        <f t="shared" si="0"/>
        <v>0-10%</v>
      </c>
    </row>
    <row r="801">
      <c r="A801" s="10">
        <v>45019</v>
      </c>
      <c r="B801" s="9" t="s">
        <v>875</v>
      </c>
      <c r="C801" s="9" t="s">
        <v>14</v>
      </c>
      <c r="D801" s="9" t="s">
        <v>12</v>
      </c>
      <c r="E801" s="9" t="s">
        <v>21</v>
      </c>
      <c r="F801" s="9" t="s">
        <v>78</v>
      </c>
      <c r="G801" s="9">
        <v>80.849999999999994</v>
      </c>
      <c r="H801" s="9">
        <v>6</v>
      </c>
      <c r="I801" s="9">
        <v>485.10000000000002</v>
      </c>
      <c r="J801" s="9">
        <v>0.22</v>
      </c>
      <c r="K801" s="9">
        <v>-21.739999999999998</v>
      </c>
      <c r="L801" s="9" t="s">
        <v>55</v>
      </c>
      <c r="M801" s="9" t="str">
        <f t="shared" si="0"/>
        <v>10-20%</v>
      </c>
    </row>
    <row r="802">
      <c r="A802" s="10">
        <v>45248</v>
      </c>
      <c r="B802" s="9" t="s">
        <v>876</v>
      </c>
      <c r="C802" s="9" t="s">
        <v>17</v>
      </c>
      <c r="D802" s="9" t="s">
        <v>11</v>
      </c>
      <c r="E802" s="9" t="s">
        <v>20</v>
      </c>
      <c r="F802" s="9" t="s">
        <v>80</v>
      </c>
      <c r="G802" s="9">
        <v>413.29000000000002</v>
      </c>
      <c r="H802" s="9">
        <v>3</v>
      </c>
      <c r="I802" s="9">
        <v>1239.8699999999999</v>
      </c>
      <c r="J802" s="9">
        <v>0.20999999999999999</v>
      </c>
      <c r="K802" s="9">
        <v>-184.78</v>
      </c>
      <c r="L802" s="9" t="s">
        <v>72</v>
      </c>
      <c r="M802" s="9" t="str">
        <f t="shared" si="0"/>
        <v>20%+</v>
      </c>
    </row>
    <row r="803">
      <c r="A803" s="10">
        <v>44962</v>
      </c>
      <c r="B803" s="9" t="s">
        <v>877</v>
      </c>
      <c r="C803" s="9" t="s">
        <v>15</v>
      </c>
      <c r="D803" s="9" t="s">
        <v>12</v>
      </c>
      <c r="E803" s="9" t="s">
        <v>19</v>
      </c>
      <c r="F803" s="9" t="s">
        <v>67</v>
      </c>
      <c r="G803" s="9">
        <v>178.03999999999999</v>
      </c>
      <c r="H803" s="9">
        <v>1</v>
      </c>
      <c r="I803" s="9">
        <v>178.03999999999999</v>
      </c>
      <c r="J803" s="9">
        <v>0</v>
      </c>
      <c r="K803" s="9">
        <v>23.940000000000001</v>
      </c>
      <c r="L803" s="9" t="s">
        <v>72</v>
      </c>
      <c r="M803" s="9" t="str">
        <f t="shared" si="0"/>
        <v>20%+</v>
      </c>
    </row>
    <row r="804">
      <c r="A804" s="10">
        <v>45188</v>
      </c>
      <c r="B804" s="9" t="s">
        <v>878</v>
      </c>
      <c r="C804" s="9" t="s">
        <v>15</v>
      </c>
      <c r="D804" s="9" t="s">
        <v>11</v>
      </c>
      <c r="E804" s="9" t="s">
        <v>19</v>
      </c>
      <c r="F804" s="9" t="s">
        <v>57</v>
      </c>
      <c r="G804" s="9">
        <v>157.5</v>
      </c>
      <c r="H804" s="9">
        <v>15</v>
      </c>
      <c r="I804" s="9">
        <v>2362.5</v>
      </c>
      <c r="J804" s="9">
        <v>0.23999999999999999</v>
      </c>
      <c r="K804" s="9">
        <v>-209.80000000000001</v>
      </c>
      <c r="L804" s="9" t="s">
        <v>72</v>
      </c>
      <c r="M804" s="9" t="str">
        <f t="shared" si="0"/>
        <v>0-10%</v>
      </c>
    </row>
    <row r="805">
      <c r="A805" s="10">
        <v>45285</v>
      </c>
      <c r="B805" s="9" t="s">
        <v>879</v>
      </c>
      <c r="C805" s="9" t="s">
        <v>14</v>
      </c>
      <c r="D805" s="9" t="s">
        <v>12</v>
      </c>
      <c r="E805" s="9" t="s">
        <v>19</v>
      </c>
      <c r="F805" s="9" t="s">
        <v>57</v>
      </c>
      <c r="G805" s="9">
        <v>180.58000000000001</v>
      </c>
      <c r="H805" s="9">
        <v>9</v>
      </c>
      <c r="I805" s="9">
        <v>1625.22</v>
      </c>
      <c r="J805" s="9">
        <v>0.19</v>
      </c>
      <c r="K805" s="9">
        <v>-54.5</v>
      </c>
      <c r="L805" s="9" t="s">
        <v>58</v>
      </c>
      <c r="M805" s="9" t="str">
        <f t="shared" si="0"/>
        <v>20%+</v>
      </c>
    </row>
    <row r="806">
      <c r="A806" s="10">
        <v>45200</v>
      </c>
      <c r="B806" s="9" t="s">
        <v>880</v>
      </c>
      <c r="C806" s="9" t="s">
        <v>14</v>
      </c>
      <c r="D806" s="9" t="s">
        <v>8</v>
      </c>
      <c r="E806" s="9" t="s">
        <v>19</v>
      </c>
      <c r="F806" s="9" t="s">
        <v>60</v>
      </c>
      <c r="G806" s="9">
        <v>163.69999999999999</v>
      </c>
      <c r="H806" s="9">
        <v>12</v>
      </c>
      <c r="I806" s="9">
        <v>1964.4000000000001</v>
      </c>
      <c r="J806" s="9">
        <v>0.23999999999999999</v>
      </c>
      <c r="K806" s="9">
        <v>-4.54</v>
      </c>
      <c r="L806" s="9" t="s">
        <v>58</v>
      </c>
      <c r="M806" s="9" t="str">
        <f t="shared" si="0"/>
        <v>10-20%</v>
      </c>
    </row>
    <row r="807">
      <c r="A807" s="10">
        <v>45161</v>
      </c>
      <c r="B807" s="9" t="s">
        <v>881</v>
      </c>
      <c r="C807" s="9" t="s">
        <v>15</v>
      </c>
      <c r="D807" s="9" t="s">
        <v>11</v>
      </c>
      <c r="E807" s="9" t="s">
        <v>20</v>
      </c>
      <c r="F807" s="9" t="s">
        <v>69</v>
      </c>
      <c r="G807" s="9">
        <v>381.87</v>
      </c>
      <c r="H807" s="9">
        <v>3</v>
      </c>
      <c r="I807" s="9">
        <v>1145.6099999999999</v>
      </c>
      <c r="J807" s="9">
        <v>0.050000000000000003</v>
      </c>
      <c r="K807" s="9">
        <v>202.55000000000001</v>
      </c>
      <c r="L807" s="9" t="s">
        <v>72</v>
      </c>
      <c r="M807" s="9" t="str">
        <f t="shared" si="0"/>
        <v>20%+</v>
      </c>
    </row>
    <row r="808">
      <c r="A808" s="10">
        <v>45203</v>
      </c>
      <c r="B808" s="9" t="s">
        <v>882</v>
      </c>
      <c r="C808" s="9" t="s">
        <v>16</v>
      </c>
      <c r="D808" s="9" t="s">
        <v>11</v>
      </c>
      <c r="E808" s="9" t="s">
        <v>20</v>
      </c>
      <c r="F808" s="9" t="s">
        <v>101</v>
      </c>
      <c r="G808" s="9">
        <v>314.44999999999999</v>
      </c>
      <c r="H808" s="9">
        <v>7</v>
      </c>
      <c r="I808" s="9">
        <v>2201.1500000000001</v>
      </c>
      <c r="J808" s="9">
        <v>0.19</v>
      </c>
      <c r="K808" s="9">
        <v>-177.74000000000001</v>
      </c>
      <c r="L808" s="9" t="s">
        <v>55</v>
      </c>
      <c r="M808" s="9" t="str">
        <f t="shared" si="0"/>
        <v>0-10%</v>
      </c>
    </row>
    <row r="809">
      <c r="A809" s="10">
        <v>45046</v>
      </c>
      <c r="B809" s="9" t="s">
        <v>883</v>
      </c>
      <c r="C809" s="9" t="s">
        <v>17</v>
      </c>
      <c r="D809" s="9" t="s">
        <v>11</v>
      </c>
      <c r="E809" s="9" t="s">
        <v>19</v>
      </c>
      <c r="F809" s="9" t="s">
        <v>98</v>
      </c>
      <c r="G809" s="9">
        <v>132.61000000000001</v>
      </c>
      <c r="H809" s="9">
        <v>6</v>
      </c>
      <c r="I809" s="9">
        <v>795.65999999999997</v>
      </c>
      <c r="J809" s="9">
        <v>0.20000000000000001</v>
      </c>
      <c r="K809" s="9">
        <v>-19.719999999999999</v>
      </c>
      <c r="L809" s="9" t="s">
        <v>63</v>
      </c>
      <c r="M809" s="9" t="str">
        <f t="shared" si="0"/>
        <v>10-20%</v>
      </c>
    </row>
    <row r="810">
      <c r="A810" s="10">
        <v>45186</v>
      </c>
      <c r="B810" s="9" t="s">
        <v>884</v>
      </c>
      <c r="C810" s="9" t="s">
        <v>17</v>
      </c>
      <c r="D810" s="9" t="s">
        <v>8</v>
      </c>
      <c r="E810" s="9" t="s">
        <v>22</v>
      </c>
      <c r="F810" s="9" t="s">
        <v>54</v>
      </c>
      <c r="G810" s="9">
        <v>81.959999999999994</v>
      </c>
      <c r="H810" s="9">
        <v>7</v>
      </c>
      <c r="I810" s="9">
        <v>573.72000000000003</v>
      </c>
      <c r="J810" s="9">
        <v>0.26000000000000001</v>
      </c>
      <c r="K810" s="9">
        <v>-19.079999999999998</v>
      </c>
      <c r="L810" s="9" t="s">
        <v>55</v>
      </c>
      <c r="M810" s="9" t="str">
        <f t="shared" si="0"/>
        <v>10-20%</v>
      </c>
    </row>
    <row r="811">
      <c r="A811" s="10">
        <v>45245</v>
      </c>
      <c r="B811" s="9" t="s">
        <v>885</v>
      </c>
      <c r="C811" s="9" t="s">
        <v>14</v>
      </c>
      <c r="D811" s="9" t="s">
        <v>10</v>
      </c>
      <c r="E811" s="9" t="s">
        <v>20</v>
      </c>
      <c r="F811" s="9" t="s">
        <v>80</v>
      </c>
      <c r="G811" s="9">
        <v>331.37</v>
      </c>
      <c r="H811" s="9">
        <v>3</v>
      </c>
      <c r="I811" s="9">
        <v>994.11000000000001</v>
      </c>
      <c r="J811" s="9">
        <v>0.13</v>
      </c>
      <c r="K811" s="9">
        <v>-70.439999999999998</v>
      </c>
      <c r="L811" s="9" t="s">
        <v>58</v>
      </c>
      <c r="M811" s="9" t="str">
        <f t="shared" si="0"/>
        <v>20%+</v>
      </c>
    </row>
    <row r="812">
      <c r="A812" s="10">
        <v>45094</v>
      </c>
      <c r="B812" s="9" t="s">
        <v>886</v>
      </c>
      <c r="C812" s="9" t="s">
        <v>17</v>
      </c>
      <c r="D812" s="9" t="s">
        <v>10</v>
      </c>
      <c r="E812" s="9" t="s">
        <v>22</v>
      </c>
      <c r="F812" s="9" t="s">
        <v>54</v>
      </c>
      <c r="G812" s="9">
        <v>111.37</v>
      </c>
      <c r="H812" s="9">
        <v>14</v>
      </c>
      <c r="I812" s="9">
        <v>1559.1800000000001</v>
      </c>
      <c r="J812" s="9">
        <v>0.26000000000000001</v>
      </c>
      <c r="K812" s="9">
        <v>-28.48</v>
      </c>
      <c r="L812" s="9" t="s">
        <v>72</v>
      </c>
      <c r="M812" s="9" t="str">
        <f t="shared" si="0"/>
        <v>10-20%</v>
      </c>
    </row>
    <row r="813">
      <c r="A813" s="10">
        <v>45254</v>
      </c>
      <c r="B813" s="9" t="s">
        <v>887</v>
      </c>
      <c r="C813" s="9" t="s">
        <v>14</v>
      </c>
      <c r="D813" s="9" t="s">
        <v>11</v>
      </c>
      <c r="E813" s="9" t="s">
        <v>20</v>
      </c>
      <c r="F813" s="9" t="s">
        <v>69</v>
      </c>
      <c r="G813" s="9">
        <v>444.51999999999998</v>
      </c>
      <c r="H813" s="9">
        <v>2</v>
      </c>
      <c r="I813" s="9">
        <v>889.03999999999996</v>
      </c>
      <c r="J813" s="9">
        <v>0.089999999999999997</v>
      </c>
      <c r="K813" s="9">
        <v>70.579999999999998</v>
      </c>
      <c r="L813" s="9" t="s">
        <v>63</v>
      </c>
      <c r="M813" s="9" t="str">
        <f t="shared" si="0"/>
        <v>20%+</v>
      </c>
    </row>
    <row r="814">
      <c r="A814" s="10">
        <v>45137</v>
      </c>
      <c r="B814" s="9" t="s">
        <v>888</v>
      </c>
      <c r="C814" s="9" t="s">
        <v>15</v>
      </c>
      <c r="D814" s="9" t="s">
        <v>9</v>
      </c>
      <c r="E814" s="9" t="s">
        <v>20</v>
      </c>
      <c r="F814" s="9" t="s">
        <v>80</v>
      </c>
      <c r="G814" s="9">
        <v>262.06</v>
      </c>
      <c r="H814" s="9">
        <v>3</v>
      </c>
      <c r="I814" s="9">
        <v>786.17999999999995</v>
      </c>
      <c r="J814" s="9">
        <v>0.20000000000000001</v>
      </c>
      <c r="K814" s="9">
        <v>22.82</v>
      </c>
      <c r="L814" s="9" t="s">
        <v>55</v>
      </c>
      <c r="M814" s="9" t="str">
        <f t="shared" si="0"/>
        <v>0-10%</v>
      </c>
    </row>
    <row r="815">
      <c r="A815" s="10">
        <v>44971</v>
      </c>
      <c r="B815" s="9" t="s">
        <v>889</v>
      </c>
      <c r="C815" s="9" t="s">
        <v>16</v>
      </c>
      <c r="D815" s="9" t="s">
        <v>8</v>
      </c>
      <c r="E815" s="9" t="s">
        <v>22</v>
      </c>
      <c r="F815" s="9" t="s">
        <v>71</v>
      </c>
      <c r="G815" s="9">
        <v>338.88</v>
      </c>
      <c r="H815" s="9">
        <v>4</v>
      </c>
      <c r="I815" s="9">
        <v>1355.52</v>
      </c>
      <c r="J815" s="9">
        <v>0.19</v>
      </c>
      <c r="K815" s="9">
        <v>66.280000000000001</v>
      </c>
      <c r="L815" s="9" t="s">
        <v>58</v>
      </c>
      <c r="M815" s="9" t="str">
        <f t="shared" si="0"/>
        <v>10-20%</v>
      </c>
    </row>
    <row r="816">
      <c r="A816" s="10">
        <v>45113</v>
      </c>
      <c r="B816" s="9" t="s">
        <v>890</v>
      </c>
      <c r="C816" s="9" t="s">
        <v>17</v>
      </c>
      <c r="D816" s="9" t="s">
        <v>8</v>
      </c>
      <c r="E816" s="9" t="s">
        <v>21</v>
      </c>
      <c r="F816" s="9" t="s">
        <v>88</v>
      </c>
      <c r="G816" s="9">
        <v>96.040000000000006</v>
      </c>
      <c r="H816" s="9">
        <v>3</v>
      </c>
      <c r="I816" s="9">
        <v>288.12</v>
      </c>
      <c r="J816" s="9">
        <v>0.02</v>
      </c>
      <c r="K816" s="9">
        <v>41.25</v>
      </c>
      <c r="L816" s="9" t="s">
        <v>72</v>
      </c>
      <c r="M816" s="9" t="str">
        <f t="shared" si="0"/>
        <v>10-20%</v>
      </c>
    </row>
    <row r="817">
      <c r="A817" s="10">
        <v>45105</v>
      </c>
      <c r="B817" s="9" t="s">
        <v>891</v>
      </c>
      <c r="C817" s="9" t="s">
        <v>16</v>
      </c>
      <c r="D817" s="9" t="s">
        <v>10</v>
      </c>
      <c r="E817" s="9" t="s">
        <v>21</v>
      </c>
      <c r="F817" s="9" t="s">
        <v>88</v>
      </c>
      <c r="G817" s="9">
        <v>170.86000000000001</v>
      </c>
      <c r="H817" s="9">
        <v>3</v>
      </c>
      <c r="I817" s="9">
        <v>512.58000000000004</v>
      </c>
      <c r="J817" s="9">
        <v>0.02</v>
      </c>
      <c r="K817" s="9">
        <v>76.680000000000007</v>
      </c>
      <c r="L817" s="9" t="s">
        <v>72</v>
      </c>
      <c r="M817" s="9" t="str">
        <f t="shared" si="0"/>
        <v>0-10%</v>
      </c>
    </row>
    <row r="818">
      <c r="A818" s="10">
        <v>45198</v>
      </c>
      <c r="B818" s="9" t="s">
        <v>892</v>
      </c>
      <c r="C818" s="9" t="s">
        <v>15</v>
      </c>
      <c r="D818" s="9" t="s">
        <v>11</v>
      </c>
      <c r="E818" s="9" t="s">
        <v>19</v>
      </c>
      <c r="F818" s="9" t="s">
        <v>60</v>
      </c>
      <c r="G818" s="9">
        <v>471.69</v>
      </c>
      <c r="H818" s="9">
        <v>9</v>
      </c>
      <c r="I818" s="9">
        <v>4245.21</v>
      </c>
      <c r="J818" s="9">
        <v>0.27000000000000002</v>
      </c>
      <c r="K818" s="9">
        <v>-884.26999999999998</v>
      </c>
      <c r="L818" s="9" t="s">
        <v>55</v>
      </c>
      <c r="M818" s="9" t="str">
        <f t="shared" si="0"/>
        <v>0-10%</v>
      </c>
    </row>
    <row r="819">
      <c r="A819" s="10">
        <v>45270</v>
      </c>
      <c r="B819" s="9" t="s">
        <v>893</v>
      </c>
      <c r="C819" s="9" t="s">
        <v>17</v>
      </c>
      <c r="D819" s="9" t="s">
        <v>12</v>
      </c>
      <c r="E819" s="9" t="s">
        <v>21</v>
      </c>
      <c r="F819" s="9" t="s">
        <v>78</v>
      </c>
      <c r="G819" s="9">
        <v>430.56999999999999</v>
      </c>
      <c r="H819" s="9">
        <v>8</v>
      </c>
      <c r="I819" s="9">
        <v>3444.5599999999999</v>
      </c>
      <c r="J819" s="9">
        <v>0.20000000000000001</v>
      </c>
      <c r="K819" s="9">
        <v>-13.199999999999999</v>
      </c>
      <c r="L819" s="9" t="s">
        <v>58</v>
      </c>
      <c r="M819" s="9" t="str">
        <f t="shared" si="0"/>
        <v>20%+</v>
      </c>
    </row>
    <row r="820">
      <c r="A820" s="10">
        <v>44937</v>
      </c>
      <c r="B820" s="9" t="s">
        <v>894</v>
      </c>
      <c r="C820" s="9" t="s">
        <v>14</v>
      </c>
      <c r="D820" s="9" t="s">
        <v>10</v>
      </c>
      <c r="E820" s="9" t="s">
        <v>22</v>
      </c>
      <c r="F820" s="9" t="s">
        <v>54</v>
      </c>
      <c r="G820" s="9">
        <v>491.92000000000002</v>
      </c>
      <c r="H820" s="9">
        <v>9</v>
      </c>
      <c r="I820" s="9">
        <v>4427.2799999999997</v>
      </c>
      <c r="J820" s="9">
        <v>0.23999999999999999</v>
      </c>
      <c r="K820" s="9">
        <v>-443.11000000000001</v>
      </c>
      <c r="L820" s="9" t="s">
        <v>55</v>
      </c>
      <c r="M820" s="9" t="str">
        <f t="shared" si="0"/>
        <v>10-20%</v>
      </c>
    </row>
    <row r="821">
      <c r="A821" s="10">
        <v>45121</v>
      </c>
      <c r="B821" s="9" t="s">
        <v>895</v>
      </c>
      <c r="C821" s="9" t="s">
        <v>15</v>
      </c>
      <c r="D821" s="9" t="s">
        <v>9</v>
      </c>
      <c r="E821" s="9" t="s">
        <v>21</v>
      </c>
      <c r="F821" s="9" t="s">
        <v>78</v>
      </c>
      <c r="G821" s="9">
        <v>180.88999999999999</v>
      </c>
      <c r="H821" s="9">
        <v>3</v>
      </c>
      <c r="I821" s="9">
        <v>542.66999999999996</v>
      </c>
      <c r="J821" s="9">
        <v>0.29999999999999999</v>
      </c>
      <c r="K821" s="9">
        <v>-107.48999999999999</v>
      </c>
      <c r="L821" s="9" t="s">
        <v>55</v>
      </c>
      <c r="M821" s="9" t="str">
        <f t="shared" si="0"/>
        <v>20%+</v>
      </c>
    </row>
    <row r="822">
      <c r="A822" s="10">
        <v>45171</v>
      </c>
      <c r="B822" s="9" t="s">
        <v>896</v>
      </c>
      <c r="C822" s="9" t="s">
        <v>16</v>
      </c>
      <c r="D822" s="9" t="s">
        <v>8</v>
      </c>
      <c r="E822" s="9" t="s">
        <v>22</v>
      </c>
      <c r="F822" s="9" t="s">
        <v>84</v>
      </c>
      <c r="G822" s="9">
        <v>140.97999999999999</v>
      </c>
      <c r="H822" s="9">
        <v>8</v>
      </c>
      <c r="I822" s="9">
        <v>1127.8399999999999</v>
      </c>
      <c r="J822" s="9">
        <v>0.16</v>
      </c>
      <c r="K822" s="9">
        <v>93.980000000000004</v>
      </c>
      <c r="L822" s="9" t="s">
        <v>72</v>
      </c>
      <c r="M822" s="9" t="str">
        <f t="shared" si="0"/>
        <v>20%+</v>
      </c>
    </row>
    <row r="823">
      <c r="A823" s="10">
        <v>44950</v>
      </c>
      <c r="B823" s="9" t="s">
        <v>897</v>
      </c>
      <c r="C823" s="9" t="s">
        <v>15</v>
      </c>
      <c r="D823" s="9" t="s">
        <v>9</v>
      </c>
      <c r="E823" s="9" t="s">
        <v>22</v>
      </c>
      <c r="F823" s="9" t="s">
        <v>71</v>
      </c>
      <c r="G823" s="9">
        <v>433.79000000000002</v>
      </c>
      <c r="H823" s="9">
        <v>3</v>
      </c>
      <c r="I823" s="9">
        <v>1301.3699999999999</v>
      </c>
      <c r="J823" s="9">
        <v>0.13</v>
      </c>
      <c r="K823" s="9">
        <v>2.9700000000000002</v>
      </c>
      <c r="L823" s="9" t="s">
        <v>63</v>
      </c>
      <c r="M823" s="9" t="str">
        <f t="shared" si="0"/>
        <v>10-20%</v>
      </c>
    </row>
    <row r="824">
      <c r="A824" s="10">
        <v>44982</v>
      </c>
      <c r="B824" s="9" t="s">
        <v>898</v>
      </c>
      <c r="C824" s="9" t="s">
        <v>17</v>
      </c>
      <c r="D824" s="9" t="s">
        <v>11</v>
      </c>
      <c r="E824" s="9" t="s">
        <v>21</v>
      </c>
      <c r="F824" s="9" t="s">
        <v>76</v>
      </c>
      <c r="G824" s="9">
        <v>249.84</v>
      </c>
      <c r="H824" s="9">
        <v>12</v>
      </c>
      <c r="I824" s="9">
        <v>2998.0799999999999</v>
      </c>
      <c r="J824" s="9">
        <v>0.19</v>
      </c>
      <c r="K824" s="9">
        <v>-333.07999999999998</v>
      </c>
      <c r="L824" s="9" t="s">
        <v>58</v>
      </c>
      <c r="M824" s="9" t="str">
        <f t="shared" si="0"/>
        <v>10-20%</v>
      </c>
    </row>
    <row r="825">
      <c r="A825" s="10">
        <v>45219</v>
      </c>
      <c r="B825" s="9" t="s">
        <v>899</v>
      </c>
      <c r="C825" s="9" t="s">
        <v>14</v>
      </c>
      <c r="D825" s="9" t="s">
        <v>9</v>
      </c>
      <c r="E825" s="9" t="s">
        <v>22</v>
      </c>
      <c r="F825" s="9" t="s">
        <v>110</v>
      </c>
      <c r="G825" s="9">
        <v>119.75</v>
      </c>
      <c r="H825" s="9">
        <v>10</v>
      </c>
      <c r="I825" s="9">
        <v>1197.5</v>
      </c>
      <c r="J825" s="9">
        <v>0.20999999999999999</v>
      </c>
      <c r="K825" s="9">
        <v>-125.66</v>
      </c>
      <c r="L825" s="9" t="s">
        <v>55</v>
      </c>
      <c r="M825" s="9" t="str">
        <f t="shared" si="0"/>
        <v>10-20%</v>
      </c>
    </row>
    <row r="826">
      <c r="A826" s="10">
        <v>44971</v>
      </c>
      <c r="B826" s="9" t="s">
        <v>900</v>
      </c>
      <c r="C826" s="9" t="s">
        <v>14</v>
      </c>
      <c r="D826" s="9" t="s">
        <v>8</v>
      </c>
      <c r="E826" s="9" t="s">
        <v>20</v>
      </c>
      <c r="F826" s="9" t="s">
        <v>80</v>
      </c>
      <c r="G826" s="9">
        <v>64.129999999999995</v>
      </c>
      <c r="H826" s="9">
        <v>13</v>
      </c>
      <c r="I826" s="9">
        <v>833.69000000000005</v>
      </c>
      <c r="J826" s="9">
        <v>0.25</v>
      </c>
      <c r="K826" s="9">
        <v>-55.07</v>
      </c>
      <c r="L826" s="9" t="s">
        <v>63</v>
      </c>
      <c r="M826" s="9" t="str">
        <f t="shared" si="0"/>
        <v>20%+</v>
      </c>
    </row>
    <row r="827">
      <c r="A827" s="10">
        <v>44931</v>
      </c>
      <c r="B827" s="9" t="s">
        <v>901</v>
      </c>
      <c r="C827" s="9" t="s">
        <v>16</v>
      </c>
      <c r="D827" s="9" t="s">
        <v>10</v>
      </c>
      <c r="E827" s="9" t="s">
        <v>22</v>
      </c>
      <c r="F827" s="9" t="s">
        <v>84</v>
      </c>
      <c r="G827" s="9">
        <v>325.91000000000003</v>
      </c>
      <c r="H827" s="9">
        <v>3</v>
      </c>
      <c r="I827" s="9">
        <v>977.73000000000002</v>
      </c>
      <c r="J827" s="9">
        <v>0.28999999999999998</v>
      </c>
      <c r="K827" s="9">
        <v>-85.140000000000001</v>
      </c>
      <c r="L827" s="9" t="s">
        <v>55</v>
      </c>
      <c r="M827" s="9" t="str">
        <f t="shared" si="0"/>
        <v>20%+</v>
      </c>
    </row>
    <row r="828">
      <c r="A828" s="10">
        <v>44957</v>
      </c>
      <c r="B828" s="9" t="s">
        <v>902</v>
      </c>
      <c r="C828" s="9" t="s">
        <v>17</v>
      </c>
      <c r="D828" s="9" t="s">
        <v>8</v>
      </c>
      <c r="E828" s="9" t="s">
        <v>21</v>
      </c>
      <c r="F828" s="9" t="s">
        <v>76</v>
      </c>
      <c r="G828" s="9">
        <v>51.700000000000003</v>
      </c>
      <c r="H828" s="9">
        <v>4</v>
      </c>
      <c r="I828" s="9">
        <v>206.80000000000001</v>
      </c>
      <c r="J828" s="9">
        <v>0.059999999999999998</v>
      </c>
      <c r="K828" s="9">
        <v>26.149999999999999</v>
      </c>
      <c r="L828" s="9" t="s">
        <v>63</v>
      </c>
      <c r="M828" s="9" t="str">
        <f t="shared" si="0"/>
        <v>20%+</v>
      </c>
    </row>
    <row r="829">
      <c r="A829" s="10">
        <v>44973</v>
      </c>
      <c r="B829" s="9" t="s">
        <v>903</v>
      </c>
      <c r="C829" s="9" t="s">
        <v>14</v>
      </c>
      <c r="D829" s="9" t="s">
        <v>8</v>
      </c>
      <c r="E829" s="9" t="s">
        <v>20</v>
      </c>
      <c r="F829" s="9" t="s">
        <v>69</v>
      </c>
      <c r="G829" s="9">
        <v>463.57999999999998</v>
      </c>
      <c r="H829" s="9">
        <v>3</v>
      </c>
      <c r="I829" s="9">
        <v>1390.74</v>
      </c>
      <c r="J829" s="9">
        <v>0.23000000000000001</v>
      </c>
      <c r="K829" s="9">
        <v>-212.49000000000001</v>
      </c>
      <c r="L829" s="9" t="s">
        <v>72</v>
      </c>
      <c r="M829" s="9" t="str">
        <f t="shared" si="0"/>
        <v>0-10%</v>
      </c>
    </row>
    <row r="830">
      <c r="A830" s="10">
        <v>45260</v>
      </c>
      <c r="B830" s="9" t="s">
        <v>904</v>
      </c>
      <c r="C830" s="9" t="s">
        <v>17</v>
      </c>
      <c r="D830" s="9" t="s">
        <v>8</v>
      </c>
      <c r="E830" s="9" t="s">
        <v>19</v>
      </c>
      <c r="F830" s="9" t="s">
        <v>60</v>
      </c>
      <c r="G830" s="9">
        <v>406.87</v>
      </c>
      <c r="H830" s="9">
        <v>10</v>
      </c>
      <c r="I830" s="9">
        <v>4068.6999999999998</v>
      </c>
      <c r="J830" s="9">
        <v>0.28999999999999998</v>
      </c>
      <c r="K830" s="9">
        <v>-192.69999999999999</v>
      </c>
      <c r="L830" s="9" t="s">
        <v>63</v>
      </c>
      <c r="M830" s="9" t="str">
        <f t="shared" si="0"/>
        <v>20%+</v>
      </c>
    </row>
    <row r="831">
      <c r="A831" s="10">
        <v>45108</v>
      </c>
      <c r="B831" s="9" t="s">
        <v>905</v>
      </c>
      <c r="C831" s="9" t="s">
        <v>17</v>
      </c>
      <c r="D831" s="9" t="s">
        <v>12</v>
      </c>
      <c r="E831" s="9" t="s">
        <v>19</v>
      </c>
      <c r="F831" s="9" t="s">
        <v>67</v>
      </c>
      <c r="G831" s="9">
        <v>210.47</v>
      </c>
      <c r="H831" s="9">
        <v>14</v>
      </c>
      <c r="I831" s="9">
        <v>2946.5799999999999</v>
      </c>
      <c r="J831" s="9">
        <v>0.20999999999999999</v>
      </c>
      <c r="K831" s="9">
        <v>-376</v>
      </c>
      <c r="L831" s="9" t="s">
        <v>63</v>
      </c>
      <c r="M831" s="9" t="str">
        <f t="shared" si="0"/>
        <v>20%+</v>
      </c>
    </row>
    <row r="832">
      <c r="A832" s="10">
        <v>45060</v>
      </c>
      <c r="B832" s="9" t="s">
        <v>906</v>
      </c>
      <c r="C832" s="9" t="s">
        <v>17</v>
      </c>
      <c r="D832" s="9" t="s">
        <v>9</v>
      </c>
      <c r="E832" s="9" t="s">
        <v>21</v>
      </c>
      <c r="F832" s="9" t="s">
        <v>78</v>
      </c>
      <c r="G832" s="9">
        <v>106.68000000000001</v>
      </c>
      <c r="H832" s="9">
        <v>15</v>
      </c>
      <c r="I832" s="9">
        <v>1600.2</v>
      </c>
      <c r="J832" s="9">
        <v>0.10000000000000001</v>
      </c>
      <c r="K832" s="9">
        <v>-11.32</v>
      </c>
      <c r="L832" s="9" t="s">
        <v>72</v>
      </c>
      <c r="M832" s="9" t="str">
        <f t="shared" si="0"/>
        <v>20%+</v>
      </c>
    </row>
    <row r="833">
      <c r="A833" s="10">
        <v>45230</v>
      </c>
      <c r="B833" s="9" t="s">
        <v>907</v>
      </c>
      <c r="C833" s="9" t="s">
        <v>14</v>
      </c>
      <c r="D833" s="9" t="s">
        <v>10</v>
      </c>
      <c r="E833" s="9" t="s">
        <v>20</v>
      </c>
      <c r="F833" s="9" t="s">
        <v>80</v>
      </c>
      <c r="G833" s="9">
        <v>60.740000000000002</v>
      </c>
      <c r="H833" s="9">
        <v>8</v>
      </c>
      <c r="I833" s="9">
        <v>485.92000000000002</v>
      </c>
      <c r="J833" s="9">
        <v>0.14999999999999999</v>
      </c>
      <c r="K833" s="9">
        <v>-39.329999999999998</v>
      </c>
      <c r="L833" s="9" t="s">
        <v>63</v>
      </c>
      <c r="M833" s="9" t="str">
        <f t="shared" si="0"/>
        <v>0-10%</v>
      </c>
    </row>
    <row r="834">
      <c r="A834" s="10">
        <v>45017</v>
      </c>
      <c r="B834" s="9" t="s">
        <v>908</v>
      </c>
      <c r="C834" s="9" t="s">
        <v>17</v>
      </c>
      <c r="D834" s="9" t="s">
        <v>12</v>
      </c>
      <c r="E834" s="9" t="s">
        <v>19</v>
      </c>
      <c r="F834" s="9" t="s">
        <v>67</v>
      </c>
      <c r="G834" s="9">
        <v>73.689999999999998</v>
      </c>
      <c r="H834" s="9">
        <v>12</v>
      </c>
      <c r="I834" s="9">
        <v>884.27999999999997</v>
      </c>
      <c r="J834" s="9">
        <v>0.23000000000000001</v>
      </c>
      <c r="K834" s="9">
        <v>-93.909999999999997</v>
      </c>
      <c r="L834" s="9" t="s">
        <v>55</v>
      </c>
      <c r="M834" s="9" t="str">
        <f t="shared" si="0"/>
        <v>10-20%</v>
      </c>
    </row>
    <row r="835">
      <c r="A835" s="10">
        <v>45073</v>
      </c>
      <c r="B835" s="9" t="s">
        <v>909</v>
      </c>
      <c r="C835" s="9" t="s">
        <v>14</v>
      </c>
      <c r="D835" s="9" t="s">
        <v>11</v>
      </c>
      <c r="E835" s="9" t="s">
        <v>21</v>
      </c>
      <c r="F835" s="9" t="s">
        <v>96</v>
      </c>
      <c r="G835" s="9">
        <v>338.41000000000003</v>
      </c>
      <c r="H835" s="9">
        <v>14</v>
      </c>
      <c r="I835" s="9">
        <v>4737.7399999999998</v>
      </c>
      <c r="J835" s="9">
        <v>0.040000000000000001</v>
      </c>
      <c r="K835" s="9">
        <v>970.38999999999999</v>
      </c>
      <c r="L835" s="9" t="s">
        <v>55</v>
      </c>
      <c r="M835" s="9" t="str">
        <f t="shared" si="0"/>
        <v>20%+</v>
      </c>
    </row>
    <row r="836">
      <c r="A836" s="10">
        <v>45232</v>
      </c>
      <c r="B836" s="9" t="s">
        <v>910</v>
      </c>
      <c r="C836" s="9" t="s">
        <v>16</v>
      </c>
      <c r="D836" s="9" t="s">
        <v>12</v>
      </c>
      <c r="E836" s="9" t="s">
        <v>21</v>
      </c>
      <c r="F836" s="9" t="s">
        <v>82</v>
      </c>
      <c r="G836" s="9">
        <v>290.07999999999998</v>
      </c>
      <c r="H836" s="9">
        <v>2</v>
      </c>
      <c r="I836" s="9">
        <v>580.15999999999997</v>
      </c>
      <c r="J836" s="9">
        <v>0.040000000000000001</v>
      </c>
      <c r="K836" s="9">
        <v>101.15000000000001</v>
      </c>
      <c r="L836" s="9" t="s">
        <v>63</v>
      </c>
      <c r="M836" s="9" t="str">
        <f t="shared" si="0"/>
        <v>0-10%</v>
      </c>
    </row>
    <row r="837">
      <c r="A837" s="10">
        <v>45231</v>
      </c>
      <c r="B837" s="9" t="s">
        <v>911</v>
      </c>
      <c r="C837" s="9" t="s">
        <v>15</v>
      </c>
      <c r="D837" s="9" t="s">
        <v>11</v>
      </c>
      <c r="E837" s="9" t="s">
        <v>22</v>
      </c>
      <c r="F837" s="9" t="s">
        <v>110</v>
      </c>
      <c r="G837" s="9">
        <v>296.89999999999998</v>
      </c>
      <c r="H837" s="9">
        <v>10</v>
      </c>
      <c r="I837" s="9">
        <v>2969</v>
      </c>
      <c r="J837" s="9">
        <v>0.14000000000000001</v>
      </c>
      <c r="K837" s="9">
        <v>100.18000000000001</v>
      </c>
      <c r="L837" s="9" t="s">
        <v>63</v>
      </c>
      <c r="M837" s="9" t="str">
        <f t="shared" si="0"/>
        <v>0-10%</v>
      </c>
    </row>
    <row r="838">
      <c r="A838" s="10">
        <v>45225</v>
      </c>
      <c r="B838" s="9" t="s">
        <v>912</v>
      </c>
      <c r="C838" s="9" t="s">
        <v>15</v>
      </c>
      <c r="D838" s="9" t="s">
        <v>11</v>
      </c>
      <c r="E838" s="9" t="s">
        <v>22</v>
      </c>
      <c r="F838" s="9" t="s">
        <v>54</v>
      </c>
      <c r="G838" s="9">
        <v>367.57999999999998</v>
      </c>
      <c r="H838" s="9">
        <v>14</v>
      </c>
      <c r="I838" s="9">
        <v>5146.1199999999999</v>
      </c>
      <c r="J838" s="9">
        <v>0.11</v>
      </c>
      <c r="K838" s="9">
        <v>-291.33999999999997</v>
      </c>
      <c r="L838" s="9" t="s">
        <v>58</v>
      </c>
      <c r="M838" s="9" t="str">
        <f t="shared" si="0"/>
        <v>10-20%</v>
      </c>
    </row>
    <row r="839">
      <c r="A839" s="10">
        <v>45142</v>
      </c>
      <c r="B839" s="9" t="s">
        <v>913</v>
      </c>
      <c r="C839" s="9" t="s">
        <v>17</v>
      </c>
      <c r="D839" s="9" t="s">
        <v>12</v>
      </c>
      <c r="E839" s="9" t="s">
        <v>20</v>
      </c>
      <c r="F839" s="9" t="s">
        <v>65</v>
      </c>
      <c r="G839" s="9">
        <v>261.52999999999997</v>
      </c>
      <c r="H839" s="9">
        <v>12</v>
      </c>
      <c r="I839" s="9">
        <v>3138.3600000000001</v>
      </c>
      <c r="J839" s="9">
        <v>0.20999999999999999</v>
      </c>
      <c r="K839" s="9">
        <v>0.02</v>
      </c>
      <c r="L839" s="9" t="s">
        <v>55</v>
      </c>
      <c r="M839" s="9" t="str">
        <f t="shared" si="0"/>
        <v>10-20%</v>
      </c>
    </row>
    <row r="840">
      <c r="A840" s="10">
        <v>44985</v>
      </c>
      <c r="B840" s="9" t="s">
        <v>914</v>
      </c>
      <c r="C840" s="9" t="s">
        <v>17</v>
      </c>
      <c r="D840" s="9" t="s">
        <v>8</v>
      </c>
      <c r="E840" s="9" t="s">
        <v>20</v>
      </c>
      <c r="F840" s="9" t="s">
        <v>69</v>
      </c>
      <c r="G840" s="9">
        <v>132.78</v>
      </c>
      <c r="H840" s="9">
        <v>3</v>
      </c>
      <c r="I840" s="9">
        <v>398.33999999999997</v>
      </c>
      <c r="J840" s="9">
        <v>0.14999999999999999</v>
      </c>
      <c r="K840" s="9">
        <v>2.0800000000000001</v>
      </c>
      <c r="L840" s="9" t="s">
        <v>63</v>
      </c>
      <c r="M840" s="9" t="str">
        <f t="shared" si="0"/>
        <v>20%+</v>
      </c>
    </row>
    <row r="841">
      <c r="A841" s="10">
        <v>45199</v>
      </c>
      <c r="B841" s="9" t="s">
        <v>915</v>
      </c>
      <c r="C841" s="9" t="s">
        <v>14</v>
      </c>
      <c r="D841" s="9" t="s">
        <v>11</v>
      </c>
      <c r="E841" s="9" t="s">
        <v>20</v>
      </c>
      <c r="F841" s="9" t="s">
        <v>74</v>
      </c>
      <c r="G841" s="9">
        <v>277.24000000000001</v>
      </c>
      <c r="H841" s="9">
        <v>10</v>
      </c>
      <c r="I841" s="9">
        <v>2772.4000000000001</v>
      </c>
      <c r="J841" s="9">
        <v>0.13</v>
      </c>
      <c r="K841" s="9">
        <v>190.25</v>
      </c>
      <c r="L841" s="9" t="s">
        <v>72</v>
      </c>
      <c r="M841" s="9" t="str">
        <f t="shared" si="0"/>
        <v>10-20%</v>
      </c>
    </row>
    <row r="842">
      <c r="A842" s="10">
        <v>45104</v>
      </c>
      <c r="B842" s="9" t="s">
        <v>916</v>
      </c>
      <c r="C842" s="9" t="s">
        <v>16</v>
      </c>
      <c r="D842" s="9" t="s">
        <v>8</v>
      </c>
      <c r="E842" s="9" t="s">
        <v>20</v>
      </c>
      <c r="F842" s="9" t="s">
        <v>69</v>
      </c>
      <c r="G842" s="9">
        <v>364.83999999999997</v>
      </c>
      <c r="H842" s="9">
        <v>6</v>
      </c>
      <c r="I842" s="9">
        <v>2189.04</v>
      </c>
      <c r="J842" s="9">
        <v>0.14000000000000001</v>
      </c>
      <c r="K842" s="9">
        <v>58.57</v>
      </c>
      <c r="L842" s="9" t="s">
        <v>58</v>
      </c>
      <c r="M842" s="9" t="str">
        <f t="shared" si="0"/>
        <v>10-20%</v>
      </c>
    </row>
    <row r="843">
      <c r="A843" s="10">
        <v>45186</v>
      </c>
      <c r="B843" s="9" t="s">
        <v>917</v>
      </c>
      <c r="C843" s="9" t="s">
        <v>16</v>
      </c>
      <c r="D843" s="9" t="s">
        <v>12</v>
      </c>
      <c r="E843" s="9" t="s">
        <v>22</v>
      </c>
      <c r="F843" s="9" t="s">
        <v>110</v>
      </c>
      <c r="G843" s="9">
        <v>427.24000000000001</v>
      </c>
      <c r="H843" s="9">
        <v>12</v>
      </c>
      <c r="I843" s="9">
        <v>5126.8800000000001</v>
      </c>
      <c r="J843" s="9">
        <v>0.12</v>
      </c>
      <c r="K843" s="9">
        <v>-78.390000000000001</v>
      </c>
      <c r="L843" s="9" t="s">
        <v>72</v>
      </c>
      <c r="M843" s="9" t="str">
        <f t="shared" si="0"/>
        <v>10-20%</v>
      </c>
    </row>
    <row r="844">
      <c r="A844" s="10">
        <v>45071</v>
      </c>
      <c r="B844" s="9" t="s">
        <v>918</v>
      </c>
      <c r="C844" s="9" t="s">
        <v>16</v>
      </c>
      <c r="D844" s="9" t="s">
        <v>8</v>
      </c>
      <c r="E844" s="9" t="s">
        <v>20</v>
      </c>
      <c r="F844" s="9" t="s">
        <v>101</v>
      </c>
      <c r="G844" s="9">
        <v>36.969999999999999</v>
      </c>
      <c r="H844" s="9">
        <v>9</v>
      </c>
      <c r="I844" s="9">
        <v>332.73000000000002</v>
      </c>
      <c r="J844" s="9">
        <v>0.13</v>
      </c>
      <c r="K844" s="9">
        <v>27.210000000000001</v>
      </c>
      <c r="L844" s="9" t="s">
        <v>55</v>
      </c>
      <c r="M844" s="9" t="str">
        <f t="shared" si="0"/>
        <v>10-20%</v>
      </c>
    </row>
    <row r="845">
      <c r="A845" s="10">
        <v>45094</v>
      </c>
      <c r="B845" s="9" t="s">
        <v>919</v>
      </c>
      <c r="C845" s="9" t="s">
        <v>15</v>
      </c>
      <c r="D845" s="9" t="s">
        <v>11</v>
      </c>
      <c r="E845" s="9" t="s">
        <v>21</v>
      </c>
      <c r="F845" s="9" t="s">
        <v>76</v>
      </c>
      <c r="G845" s="9">
        <v>153.81999999999999</v>
      </c>
      <c r="H845" s="9">
        <v>1</v>
      </c>
      <c r="I845" s="9">
        <v>153.81999999999999</v>
      </c>
      <c r="J845" s="9">
        <v>0</v>
      </c>
      <c r="K845" s="9">
        <v>21.879999999999999</v>
      </c>
      <c r="L845" s="9" t="s">
        <v>55</v>
      </c>
      <c r="M845" s="9" t="str">
        <f t="shared" si="0"/>
        <v>10-20%</v>
      </c>
    </row>
    <row r="846">
      <c r="A846" s="10">
        <v>45243</v>
      </c>
      <c r="B846" s="9" t="s">
        <v>920</v>
      </c>
      <c r="C846" s="9" t="s">
        <v>17</v>
      </c>
      <c r="D846" s="9" t="s">
        <v>10</v>
      </c>
      <c r="E846" s="9" t="s">
        <v>21</v>
      </c>
      <c r="F846" s="9" t="s">
        <v>88</v>
      </c>
      <c r="G846" s="9">
        <v>356.83999999999997</v>
      </c>
      <c r="H846" s="9">
        <v>6</v>
      </c>
      <c r="I846" s="9">
        <v>2141.04</v>
      </c>
      <c r="J846" s="9">
        <v>0.050000000000000003</v>
      </c>
      <c r="K846" s="9">
        <v>334.45999999999998</v>
      </c>
      <c r="L846" s="9" t="s">
        <v>63</v>
      </c>
      <c r="M846" s="9" t="str">
        <f t="shared" si="0"/>
        <v>0-10%</v>
      </c>
    </row>
    <row r="847">
      <c r="A847" s="10">
        <v>45250</v>
      </c>
      <c r="B847" s="9" t="s">
        <v>921</v>
      </c>
      <c r="C847" s="9" t="s">
        <v>14</v>
      </c>
      <c r="D847" s="9" t="s">
        <v>9</v>
      </c>
      <c r="E847" s="9" t="s">
        <v>20</v>
      </c>
      <c r="F847" s="9" t="s">
        <v>74</v>
      </c>
      <c r="G847" s="9">
        <v>498.61000000000001</v>
      </c>
      <c r="H847" s="9">
        <v>12</v>
      </c>
      <c r="I847" s="9">
        <v>5983.3199999999997</v>
      </c>
      <c r="J847" s="9">
        <v>0.28999999999999998</v>
      </c>
      <c r="K847" s="9">
        <v>-1330.74</v>
      </c>
      <c r="L847" s="9" t="s">
        <v>58</v>
      </c>
      <c r="M847" s="9" t="str">
        <f t="shared" si="0"/>
        <v>0-10%</v>
      </c>
    </row>
    <row r="848">
      <c r="A848" s="10">
        <v>44962</v>
      </c>
      <c r="B848" s="9" t="s">
        <v>922</v>
      </c>
      <c r="C848" s="9" t="s">
        <v>14</v>
      </c>
      <c r="D848" s="9" t="s">
        <v>8</v>
      </c>
      <c r="E848" s="9" t="s">
        <v>20</v>
      </c>
      <c r="F848" s="9" t="s">
        <v>69</v>
      </c>
      <c r="G848" s="9">
        <v>153.80000000000001</v>
      </c>
      <c r="H848" s="9">
        <v>8</v>
      </c>
      <c r="I848" s="9">
        <v>1230.4000000000001</v>
      </c>
      <c r="J848" s="9">
        <v>0</v>
      </c>
      <c r="K848" s="9">
        <v>198.94</v>
      </c>
      <c r="L848" s="9" t="s">
        <v>58</v>
      </c>
      <c r="M848" s="9" t="str">
        <f t="shared" si="0"/>
        <v>20%+</v>
      </c>
    </row>
    <row r="849">
      <c r="A849" s="10">
        <v>45167</v>
      </c>
      <c r="B849" s="9" t="s">
        <v>923</v>
      </c>
      <c r="C849" s="9" t="s">
        <v>17</v>
      </c>
      <c r="D849" s="9" t="s">
        <v>8</v>
      </c>
      <c r="E849" s="9" t="s">
        <v>20</v>
      </c>
      <c r="F849" s="9" t="s">
        <v>74</v>
      </c>
      <c r="G849" s="9">
        <v>304.54000000000002</v>
      </c>
      <c r="H849" s="9">
        <v>9</v>
      </c>
      <c r="I849" s="9">
        <v>2740.8600000000001</v>
      </c>
      <c r="J849" s="9">
        <v>0.25</v>
      </c>
      <c r="K849" s="9">
        <v>-117.70999999999999</v>
      </c>
      <c r="L849" s="9" t="s">
        <v>63</v>
      </c>
      <c r="M849" s="9" t="str">
        <f t="shared" si="0"/>
        <v>0-10%</v>
      </c>
    </row>
    <row r="850">
      <c r="A850" s="10">
        <v>45137</v>
      </c>
      <c r="B850" s="9" t="s">
        <v>924</v>
      </c>
      <c r="C850" s="9" t="s">
        <v>15</v>
      </c>
      <c r="D850" s="9" t="s">
        <v>11</v>
      </c>
      <c r="E850" s="9" t="s">
        <v>21</v>
      </c>
      <c r="F850" s="9" t="s">
        <v>82</v>
      </c>
      <c r="G850" s="9">
        <v>496.57999999999998</v>
      </c>
      <c r="H850" s="9">
        <v>3</v>
      </c>
      <c r="I850" s="9">
        <v>1489.74</v>
      </c>
      <c r="J850" s="9">
        <v>0.25</v>
      </c>
      <c r="K850" s="9">
        <v>-61.149999999999999</v>
      </c>
      <c r="L850" s="9" t="s">
        <v>63</v>
      </c>
      <c r="M850" s="9" t="str">
        <f t="shared" si="0"/>
        <v>20%+</v>
      </c>
    </row>
    <row r="851">
      <c r="A851" s="10">
        <v>45141</v>
      </c>
      <c r="B851" s="9" t="s">
        <v>925</v>
      </c>
      <c r="C851" s="9" t="s">
        <v>14</v>
      </c>
      <c r="D851" s="9" t="s">
        <v>9</v>
      </c>
      <c r="E851" s="9" t="s">
        <v>21</v>
      </c>
      <c r="F851" s="9" t="s">
        <v>76</v>
      </c>
      <c r="G851" s="9">
        <v>412</v>
      </c>
      <c r="H851" s="9">
        <v>1</v>
      </c>
      <c r="I851" s="9">
        <v>412</v>
      </c>
      <c r="J851" s="9">
        <v>0.20999999999999999</v>
      </c>
      <c r="K851" s="9">
        <v>-14.52</v>
      </c>
      <c r="L851" s="9" t="s">
        <v>63</v>
      </c>
      <c r="M851" s="9" t="str">
        <f t="shared" si="0"/>
        <v>20%+</v>
      </c>
    </row>
    <row r="852">
      <c r="A852" s="10">
        <v>45117</v>
      </c>
      <c r="B852" s="9" t="s">
        <v>926</v>
      </c>
      <c r="C852" s="9" t="s">
        <v>17</v>
      </c>
      <c r="D852" s="9" t="s">
        <v>8</v>
      </c>
      <c r="E852" s="9" t="s">
        <v>22</v>
      </c>
      <c r="F852" s="9" t="s">
        <v>110</v>
      </c>
      <c r="G852" s="9">
        <v>499.24000000000001</v>
      </c>
      <c r="H852" s="9">
        <v>10</v>
      </c>
      <c r="I852" s="9">
        <v>4992.3999999999996</v>
      </c>
      <c r="J852" s="9">
        <v>0.040000000000000001</v>
      </c>
      <c r="K852" s="9">
        <v>374.69</v>
      </c>
      <c r="L852" s="9" t="s">
        <v>55</v>
      </c>
      <c r="M852" s="9" t="str">
        <f t="shared" si="0"/>
        <v>20%+</v>
      </c>
    </row>
    <row r="853">
      <c r="A853" s="10">
        <v>45273</v>
      </c>
      <c r="B853" s="9" t="s">
        <v>927</v>
      </c>
      <c r="C853" s="9" t="s">
        <v>15</v>
      </c>
      <c r="D853" s="9" t="s">
        <v>9</v>
      </c>
      <c r="E853" s="9" t="s">
        <v>22</v>
      </c>
      <c r="F853" s="9" t="s">
        <v>84</v>
      </c>
      <c r="G853" s="9">
        <v>274.29000000000002</v>
      </c>
      <c r="H853" s="9">
        <v>4</v>
      </c>
      <c r="I853" s="9">
        <v>1097.1600000000001</v>
      </c>
      <c r="J853" s="9">
        <v>0.23000000000000001</v>
      </c>
      <c r="K853" s="9">
        <v>-50.159999999999997</v>
      </c>
      <c r="L853" s="9" t="s">
        <v>72</v>
      </c>
      <c r="M853" s="9" t="str">
        <f t="shared" si="0"/>
        <v>0-10%</v>
      </c>
    </row>
    <row r="854">
      <c r="A854" s="10">
        <v>45160</v>
      </c>
      <c r="B854" s="9" t="s">
        <v>928</v>
      </c>
      <c r="C854" s="9" t="s">
        <v>17</v>
      </c>
      <c r="D854" s="9" t="s">
        <v>12</v>
      </c>
      <c r="E854" s="9" t="s">
        <v>22</v>
      </c>
      <c r="F854" s="9" t="s">
        <v>125</v>
      </c>
      <c r="G854" s="9">
        <v>211.25</v>
      </c>
      <c r="H854" s="9">
        <v>5</v>
      </c>
      <c r="I854" s="9">
        <v>1056.25</v>
      </c>
      <c r="J854" s="9">
        <v>0.040000000000000001</v>
      </c>
      <c r="K854" s="9">
        <v>36.299999999999997</v>
      </c>
      <c r="L854" s="9" t="s">
        <v>63</v>
      </c>
      <c r="M854" s="9" t="str">
        <f t="shared" si="0"/>
        <v>20%+</v>
      </c>
    </row>
    <row r="855">
      <c r="A855" s="10">
        <v>45026</v>
      </c>
      <c r="B855" s="9" t="s">
        <v>929</v>
      </c>
      <c r="C855" s="9" t="s">
        <v>16</v>
      </c>
      <c r="D855" s="9" t="s">
        <v>11</v>
      </c>
      <c r="E855" s="9" t="s">
        <v>22</v>
      </c>
      <c r="F855" s="9" t="s">
        <v>84</v>
      </c>
      <c r="G855" s="9">
        <v>232.00999999999999</v>
      </c>
      <c r="H855" s="9">
        <v>13</v>
      </c>
      <c r="I855" s="9">
        <v>3016.1300000000001</v>
      </c>
      <c r="J855" s="9">
        <v>0.02</v>
      </c>
      <c r="K855" s="9">
        <v>312.56999999999999</v>
      </c>
      <c r="L855" s="9" t="s">
        <v>58</v>
      </c>
      <c r="M855" s="9" t="str">
        <f t="shared" si="0"/>
        <v>0-10%</v>
      </c>
    </row>
    <row r="856">
      <c r="A856" s="10">
        <v>44980</v>
      </c>
      <c r="B856" s="9" t="s">
        <v>930</v>
      </c>
      <c r="C856" s="9" t="s">
        <v>17</v>
      </c>
      <c r="D856" s="9" t="s">
        <v>11</v>
      </c>
      <c r="E856" s="9" t="s">
        <v>21</v>
      </c>
      <c r="F856" s="9" t="s">
        <v>82</v>
      </c>
      <c r="G856" s="9">
        <v>296.36000000000001</v>
      </c>
      <c r="H856" s="9">
        <v>15</v>
      </c>
      <c r="I856" s="9">
        <v>4445.3999999999996</v>
      </c>
      <c r="J856" s="9">
        <v>0.20000000000000001</v>
      </c>
      <c r="K856" s="9">
        <v>-379.31999999999999</v>
      </c>
      <c r="L856" s="9" t="s">
        <v>72</v>
      </c>
      <c r="M856" s="9" t="str">
        <f t="shared" si="0"/>
        <v>0-10%</v>
      </c>
    </row>
    <row r="857">
      <c r="A857" s="10">
        <v>45184</v>
      </c>
      <c r="B857" s="9" t="s">
        <v>931</v>
      </c>
      <c r="C857" s="9" t="s">
        <v>16</v>
      </c>
      <c r="D857" s="9" t="s">
        <v>10</v>
      </c>
      <c r="E857" s="9" t="s">
        <v>22</v>
      </c>
      <c r="F857" s="9" t="s">
        <v>71</v>
      </c>
      <c r="G857" s="9">
        <v>372.47000000000003</v>
      </c>
      <c r="H857" s="9">
        <v>2</v>
      </c>
      <c r="I857" s="9">
        <v>744.94000000000005</v>
      </c>
      <c r="J857" s="9">
        <v>0.20999999999999999</v>
      </c>
      <c r="K857" s="9">
        <v>11.23</v>
      </c>
      <c r="L857" s="9" t="s">
        <v>58</v>
      </c>
      <c r="M857" s="9" t="str">
        <f t="shared" si="0"/>
        <v>10-20%</v>
      </c>
    </row>
    <row r="858">
      <c r="A858" s="10">
        <v>44968</v>
      </c>
      <c r="B858" s="9" t="s">
        <v>932</v>
      </c>
      <c r="C858" s="9" t="s">
        <v>14</v>
      </c>
      <c r="D858" s="9" t="s">
        <v>10</v>
      </c>
      <c r="E858" s="9" t="s">
        <v>20</v>
      </c>
      <c r="F858" s="9" t="s">
        <v>101</v>
      </c>
      <c r="G858" s="9">
        <v>86.390000000000001</v>
      </c>
      <c r="H858" s="9">
        <v>5</v>
      </c>
      <c r="I858" s="9">
        <v>431.94999999999999</v>
      </c>
      <c r="J858" s="9">
        <v>0.17999999999999999</v>
      </c>
      <c r="K858" s="9">
        <v>-9.3100000000000005</v>
      </c>
      <c r="L858" s="9" t="s">
        <v>72</v>
      </c>
      <c r="M858" s="9" t="str">
        <f t="shared" si="0"/>
        <v>20%+</v>
      </c>
    </row>
    <row r="859">
      <c r="A859" s="10">
        <v>45278</v>
      </c>
      <c r="B859" s="9" t="s">
        <v>933</v>
      </c>
      <c r="C859" s="9" t="s">
        <v>15</v>
      </c>
      <c r="D859" s="9" t="s">
        <v>8</v>
      </c>
      <c r="E859" s="9" t="s">
        <v>22</v>
      </c>
      <c r="F859" s="9" t="s">
        <v>125</v>
      </c>
      <c r="G859" s="9">
        <v>207.33000000000001</v>
      </c>
      <c r="H859" s="9">
        <v>11</v>
      </c>
      <c r="I859" s="9">
        <v>2280.6300000000001</v>
      </c>
      <c r="J859" s="9">
        <v>0.10000000000000001</v>
      </c>
      <c r="K859" s="9">
        <v>-83.049999999999997</v>
      </c>
      <c r="L859" s="9" t="s">
        <v>58</v>
      </c>
      <c r="M859" s="9" t="str">
        <f t="shared" si="0"/>
        <v>10-20%</v>
      </c>
    </row>
    <row r="860">
      <c r="A860" s="10">
        <v>45080</v>
      </c>
      <c r="B860" s="9" t="s">
        <v>934</v>
      </c>
      <c r="C860" s="9" t="s">
        <v>16</v>
      </c>
      <c r="D860" s="9" t="s">
        <v>11</v>
      </c>
      <c r="E860" s="9" t="s">
        <v>19</v>
      </c>
      <c r="F860" s="9" t="s">
        <v>62</v>
      </c>
      <c r="G860" s="9">
        <v>130.66999999999999</v>
      </c>
      <c r="H860" s="9">
        <v>13</v>
      </c>
      <c r="I860" s="9">
        <v>1698.71</v>
      </c>
      <c r="J860" s="9">
        <v>0.22</v>
      </c>
      <c r="K860" s="9">
        <v>-188.66</v>
      </c>
      <c r="L860" s="9" t="s">
        <v>55</v>
      </c>
      <c r="M860" s="9" t="str">
        <f t="shared" si="0"/>
        <v>0-10%</v>
      </c>
    </row>
    <row r="861">
      <c r="A861" s="10">
        <v>45143</v>
      </c>
      <c r="B861" s="9" t="s">
        <v>935</v>
      </c>
      <c r="C861" s="9" t="s">
        <v>15</v>
      </c>
      <c r="D861" s="9" t="s">
        <v>9</v>
      </c>
      <c r="E861" s="9" t="s">
        <v>21</v>
      </c>
      <c r="F861" s="9" t="s">
        <v>78</v>
      </c>
      <c r="G861" s="9">
        <v>204.25999999999999</v>
      </c>
      <c r="H861" s="9">
        <v>5</v>
      </c>
      <c r="I861" s="9">
        <v>1021.3</v>
      </c>
      <c r="J861" s="9">
        <v>0.13</v>
      </c>
      <c r="K861" s="9">
        <v>-12.18</v>
      </c>
      <c r="L861" s="9" t="s">
        <v>63</v>
      </c>
      <c r="M861" s="9" t="str">
        <f t="shared" si="0"/>
        <v>20%+</v>
      </c>
    </row>
    <row r="862">
      <c r="A862" s="10">
        <v>45210</v>
      </c>
      <c r="B862" s="9" t="s">
        <v>936</v>
      </c>
      <c r="C862" s="9" t="s">
        <v>17</v>
      </c>
      <c r="D862" s="9" t="s">
        <v>11</v>
      </c>
      <c r="E862" s="9" t="s">
        <v>22</v>
      </c>
      <c r="F862" s="9" t="s">
        <v>110</v>
      </c>
      <c r="G862" s="9">
        <v>295.13</v>
      </c>
      <c r="H862" s="9">
        <v>2</v>
      </c>
      <c r="I862" s="9">
        <v>590.25999999999999</v>
      </c>
      <c r="J862" s="9">
        <v>0.20000000000000001</v>
      </c>
      <c r="K862" s="9">
        <v>-9.3699999999999992</v>
      </c>
      <c r="L862" s="9" t="s">
        <v>63</v>
      </c>
      <c r="M862" s="9" t="str">
        <f t="shared" si="0"/>
        <v>10-20%</v>
      </c>
    </row>
    <row r="863">
      <c r="A863" s="10">
        <v>44958</v>
      </c>
      <c r="B863" s="9" t="s">
        <v>937</v>
      </c>
      <c r="C863" s="9" t="s">
        <v>16</v>
      </c>
      <c r="D863" s="9" t="s">
        <v>10</v>
      </c>
      <c r="E863" s="9" t="s">
        <v>22</v>
      </c>
      <c r="F863" s="9" t="s">
        <v>54</v>
      </c>
      <c r="G863" s="9">
        <v>330.94999999999999</v>
      </c>
      <c r="H863" s="9">
        <v>4</v>
      </c>
      <c r="I863" s="9">
        <v>1323.8</v>
      </c>
      <c r="J863" s="9">
        <v>0.059999999999999998</v>
      </c>
      <c r="K863" s="9">
        <v>241.47999999999999</v>
      </c>
      <c r="L863" s="9" t="s">
        <v>63</v>
      </c>
      <c r="M863" s="9" t="str">
        <f t="shared" si="0"/>
        <v>10-20%</v>
      </c>
    </row>
    <row r="864">
      <c r="A864" s="10">
        <v>45020</v>
      </c>
      <c r="B864" s="9" t="s">
        <v>938</v>
      </c>
      <c r="C864" s="9" t="s">
        <v>17</v>
      </c>
      <c r="D864" s="9" t="s">
        <v>10</v>
      </c>
      <c r="E864" s="9" t="s">
        <v>19</v>
      </c>
      <c r="F864" s="9" t="s">
        <v>67</v>
      </c>
      <c r="G864" s="9">
        <v>280.39999999999998</v>
      </c>
      <c r="H864" s="9">
        <v>2</v>
      </c>
      <c r="I864" s="9">
        <v>560.79999999999995</v>
      </c>
      <c r="J864" s="9">
        <v>0.059999999999999998</v>
      </c>
      <c r="K864" s="9">
        <v>43.5</v>
      </c>
      <c r="L864" s="9" t="s">
        <v>63</v>
      </c>
      <c r="M864" s="9" t="str">
        <f t="shared" si="0"/>
        <v>0-10%</v>
      </c>
    </row>
    <row r="865">
      <c r="A865" s="10">
        <v>44969</v>
      </c>
      <c r="B865" s="9" t="s">
        <v>939</v>
      </c>
      <c r="C865" s="9" t="s">
        <v>16</v>
      </c>
      <c r="D865" s="9" t="s">
        <v>9</v>
      </c>
      <c r="E865" s="9" t="s">
        <v>20</v>
      </c>
      <c r="F865" s="9" t="s">
        <v>74</v>
      </c>
      <c r="G865" s="9">
        <v>320.62</v>
      </c>
      <c r="H865" s="9">
        <v>12</v>
      </c>
      <c r="I865" s="9">
        <v>3847.4400000000001</v>
      </c>
      <c r="J865" s="9">
        <v>0.23999999999999999</v>
      </c>
      <c r="K865" s="9">
        <v>-259.54000000000002</v>
      </c>
      <c r="L865" s="9" t="s">
        <v>58</v>
      </c>
      <c r="M865" s="9" t="str">
        <f t="shared" si="0"/>
        <v>0-10%</v>
      </c>
    </row>
    <row r="866">
      <c r="A866" s="10">
        <v>45101</v>
      </c>
      <c r="B866" s="9" t="s">
        <v>940</v>
      </c>
      <c r="C866" s="9" t="s">
        <v>16</v>
      </c>
      <c r="D866" s="9" t="s">
        <v>9</v>
      </c>
      <c r="E866" s="9" t="s">
        <v>20</v>
      </c>
      <c r="F866" s="9" t="s">
        <v>80</v>
      </c>
      <c r="G866" s="9">
        <v>433.63</v>
      </c>
      <c r="H866" s="9">
        <v>10</v>
      </c>
      <c r="I866" s="9">
        <v>4336.3000000000002</v>
      </c>
      <c r="J866" s="9">
        <v>0.01</v>
      </c>
      <c r="K866" s="9">
        <v>881.74000000000001</v>
      </c>
      <c r="L866" s="9" t="s">
        <v>63</v>
      </c>
      <c r="M866" s="9" t="str">
        <f t="shared" si="0"/>
        <v>20%+</v>
      </c>
    </row>
    <row r="867">
      <c r="A867" s="10">
        <v>44928</v>
      </c>
      <c r="B867" s="9" t="s">
        <v>941</v>
      </c>
      <c r="C867" s="9" t="s">
        <v>17</v>
      </c>
      <c r="D867" s="9" t="s">
        <v>8</v>
      </c>
      <c r="E867" s="9" t="s">
        <v>21</v>
      </c>
      <c r="F867" s="9" t="s">
        <v>76</v>
      </c>
      <c r="G867" s="9">
        <v>47.82</v>
      </c>
      <c r="H867" s="9">
        <v>8</v>
      </c>
      <c r="I867" s="9">
        <v>382.56</v>
      </c>
      <c r="J867" s="9">
        <v>0.01</v>
      </c>
      <c r="K867" s="9">
        <v>56.729999999999997</v>
      </c>
      <c r="L867" s="9" t="s">
        <v>55</v>
      </c>
      <c r="M867" s="9" t="str">
        <f t="shared" si="0"/>
        <v>0-10%</v>
      </c>
    </row>
    <row r="868">
      <c r="A868" s="10">
        <v>45017</v>
      </c>
      <c r="B868" s="9" t="s">
        <v>942</v>
      </c>
      <c r="C868" s="9" t="s">
        <v>15</v>
      </c>
      <c r="D868" s="9" t="s">
        <v>11</v>
      </c>
      <c r="E868" s="9" t="s">
        <v>22</v>
      </c>
      <c r="F868" s="9" t="s">
        <v>84</v>
      </c>
      <c r="G868" s="9">
        <v>34.149999999999999</v>
      </c>
      <c r="H868" s="9">
        <v>7</v>
      </c>
      <c r="I868" s="9">
        <v>239.05000000000001</v>
      </c>
      <c r="J868" s="9">
        <v>0.19</v>
      </c>
      <c r="K868" s="9">
        <v>-14.9</v>
      </c>
      <c r="L868" s="9" t="s">
        <v>63</v>
      </c>
      <c r="M868" s="9" t="str">
        <f t="shared" si="0"/>
        <v>0-10%</v>
      </c>
    </row>
    <row r="869">
      <c r="A869" s="10">
        <v>45199</v>
      </c>
      <c r="B869" s="9" t="s">
        <v>943</v>
      </c>
      <c r="C869" s="9" t="s">
        <v>16</v>
      </c>
      <c r="D869" s="9" t="s">
        <v>8</v>
      </c>
      <c r="E869" s="9" t="s">
        <v>22</v>
      </c>
      <c r="F869" s="9" t="s">
        <v>84</v>
      </c>
      <c r="G869" s="9">
        <v>61.600000000000001</v>
      </c>
      <c r="H869" s="9">
        <v>6</v>
      </c>
      <c r="I869" s="9">
        <v>369.60000000000002</v>
      </c>
      <c r="J869" s="9">
        <v>0.080000000000000002</v>
      </c>
      <c r="K869" s="9">
        <v>41.240000000000002</v>
      </c>
      <c r="L869" s="9" t="s">
        <v>72</v>
      </c>
      <c r="M869" s="9" t="str">
        <f t="shared" si="0"/>
        <v>10-20%</v>
      </c>
    </row>
    <row r="870">
      <c r="A870" s="10">
        <v>45177</v>
      </c>
      <c r="B870" s="9" t="s">
        <v>944</v>
      </c>
      <c r="C870" s="9" t="s">
        <v>14</v>
      </c>
      <c r="D870" s="9" t="s">
        <v>8</v>
      </c>
      <c r="E870" s="9" t="s">
        <v>19</v>
      </c>
      <c r="F870" s="9" t="s">
        <v>67</v>
      </c>
      <c r="G870" s="9">
        <v>99.430000000000007</v>
      </c>
      <c r="H870" s="9">
        <v>4</v>
      </c>
      <c r="I870" s="9">
        <v>397.72000000000003</v>
      </c>
      <c r="J870" s="9">
        <v>0.070000000000000007</v>
      </c>
      <c r="K870" s="9">
        <v>18.800000000000001</v>
      </c>
      <c r="L870" s="9" t="s">
        <v>63</v>
      </c>
      <c r="M870" s="9" t="str">
        <f t="shared" si="0"/>
        <v>0-10%</v>
      </c>
    </row>
    <row r="871">
      <c r="A871" s="10">
        <v>45237</v>
      </c>
      <c r="B871" s="9" t="s">
        <v>945</v>
      </c>
      <c r="C871" s="9" t="s">
        <v>14</v>
      </c>
      <c r="D871" s="9" t="s">
        <v>10</v>
      </c>
      <c r="E871" s="9" t="s">
        <v>20</v>
      </c>
      <c r="F871" s="9" t="s">
        <v>69</v>
      </c>
      <c r="G871" s="9">
        <v>153.28999999999999</v>
      </c>
      <c r="H871" s="9">
        <v>10</v>
      </c>
      <c r="I871" s="9">
        <v>1532.9000000000001</v>
      </c>
      <c r="J871" s="9">
        <v>0.28000000000000003</v>
      </c>
      <c r="K871" s="9">
        <v>-205.5</v>
      </c>
      <c r="L871" s="9" t="s">
        <v>72</v>
      </c>
      <c r="M871" s="9" t="str">
        <f t="shared" si="0"/>
        <v>0-10%</v>
      </c>
    </row>
    <row r="872">
      <c r="A872" s="10">
        <v>45131</v>
      </c>
      <c r="B872" s="9" t="s">
        <v>946</v>
      </c>
      <c r="C872" s="9" t="s">
        <v>17</v>
      </c>
      <c r="D872" s="9" t="s">
        <v>10</v>
      </c>
      <c r="E872" s="9" t="s">
        <v>21</v>
      </c>
      <c r="F872" s="9" t="s">
        <v>76</v>
      </c>
      <c r="G872" s="9">
        <v>479.92000000000002</v>
      </c>
      <c r="H872" s="9">
        <v>15</v>
      </c>
      <c r="I872" s="9">
        <v>7198.8000000000002</v>
      </c>
      <c r="J872" s="9">
        <v>0</v>
      </c>
      <c r="K872" s="9">
        <v>1580.6300000000001</v>
      </c>
      <c r="L872" s="9" t="s">
        <v>55</v>
      </c>
      <c r="M872" s="9" t="str">
        <f t="shared" si="0"/>
        <v>20%+</v>
      </c>
    </row>
    <row r="873">
      <c r="A873" s="10">
        <v>45009</v>
      </c>
      <c r="B873" s="9" t="s">
        <v>947</v>
      </c>
      <c r="C873" s="9" t="s">
        <v>14</v>
      </c>
      <c r="D873" s="9" t="s">
        <v>12</v>
      </c>
      <c r="E873" s="9" t="s">
        <v>22</v>
      </c>
      <c r="F873" s="9" t="s">
        <v>110</v>
      </c>
      <c r="G873" s="9">
        <v>164.50999999999999</v>
      </c>
      <c r="H873" s="9">
        <v>4</v>
      </c>
      <c r="I873" s="9">
        <v>658.03999999999996</v>
      </c>
      <c r="J873" s="9">
        <v>0.050000000000000003</v>
      </c>
      <c r="K873" s="9">
        <v>94.019999999999996</v>
      </c>
      <c r="L873" s="9" t="s">
        <v>63</v>
      </c>
      <c r="M873" s="9" t="str">
        <f t="shared" si="0"/>
        <v>0-10%</v>
      </c>
    </row>
    <row r="874">
      <c r="A874" s="10">
        <v>45285</v>
      </c>
      <c r="B874" s="9" t="s">
        <v>948</v>
      </c>
      <c r="C874" s="9" t="s">
        <v>15</v>
      </c>
      <c r="D874" s="9" t="s">
        <v>8</v>
      </c>
      <c r="E874" s="9" t="s">
        <v>20</v>
      </c>
      <c r="F874" s="9" t="s">
        <v>101</v>
      </c>
      <c r="G874" s="9">
        <v>82.829999999999998</v>
      </c>
      <c r="H874" s="9">
        <v>13</v>
      </c>
      <c r="I874" s="9">
        <v>1076.79</v>
      </c>
      <c r="J874" s="9">
        <v>0.23999999999999999</v>
      </c>
      <c r="K874" s="9">
        <v>-130.22999999999999</v>
      </c>
      <c r="L874" s="9" t="s">
        <v>63</v>
      </c>
      <c r="M874" s="9" t="str">
        <f t="shared" si="0"/>
        <v>0-10%</v>
      </c>
    </row>
    <row r="875">
      <c r="A875" s="10">
        <v>45186</v>
      </c>
      <c r="B875" s="9" t="s">
        <v>949</v>
      </c>
      <c r="C875" s="9" t="s">
        <v>16</v>
      </c>
      <c r="D875" s="9" t="s">
        <v>10</v>
      </c>
      <c r="E875" s="9" t="s">
        <v>20</v>
      </c>
      <c r="F875" s="9" t="s">
        <v>65</v>
      </c>
      <c r="G875" s="9">
        <v>259.35000000000002</v>
      </c>
      <c r="H875" s="9">
        <v>15</v>
      </c>
      <c r="I875" s="9">
        <v>3890.25</v>
      </c>
      <c r="J875" s="9">
        <v>0.27000000000000002</v>
      </c>
      <c r="K875" s="9">
        <v>-275.64999999999998</v>
      </c>
      <c r="L875" s="9" t="s">
        <v>72</v>
      </c>
      <c r="M875" s="9" t="str">
        <f t="shared" si="0"/>
        <v>20%+</v>
      </c>
    </row>
    <row r="876">
      <c r="A876" s="10">
        <v>45267</v>
      </c>
      <c r="B876" s="9" t="s">
        <v>950</v>
      </c>
      <c r="C876" s="9" t="s">
        <v>15</v>
      </c>
      <c r="D876" s="9" t="s">
        <v>9</v>
      </c>
      <c r="E876" s="9" t="s">
        <v>20</v>
      </c>
      <c r="F876" s="9" t="s">
        <v>80</v>
      </c>
      <c r="G876" s="9">
        <v>145.24000000000001</v>
      </c>
      <c r="H876" s="9">
        <v>14</v>
      </c>
      <c r="I876" s="9">
        <v>2033.3599999999999</v>
      </c>
      <c r="J876" s="9">
        <v>0.10000000000000001</v>
      </c>
      <c r="K876" s="9">
        <v>37.020000000000003</v>
      </c>
      <c r="L876" s="9" t="s">
        <v>55</v>
      </c>
      <c r="M876" s="9" t="str">
        <f t="shared" si="0"/>
        <v>20%+</v>
      </c>
    </row>
    <row r="877">
      <c r="A877" s="10">
        <v>44983</v>
      </c>
      <c r="B877" s="9" t="s">
        <v>951</v>
      </c>
      <c r="C877" s="9" t="s">
        <v>17</v>
      </c>
      <c r="D877" s="9" t="s">
        <v>12</v>
      </c>
      <c r="E877" s="9" t="s">
        <v>21</v>
      </c>
      <c r="F877" s="9" t="s">
        <v>88</v>
      </c>
      <c r="G877" s="9">
        <v>416.19</v>
      </c>
      <c r="H877" s="9">
        <v>1</v>
      </c>
      <c r="I877" s="9">
        <v>416.19</v>
      </c>
      <c r="J877" s="9">
        <v>0.13</v>
      </c>
      <c r="K877" s="9">
        <v>24.440000000000001</v>
      </c>
      <c r="L877" s="9" t="s">
        <v>58</v>
      </c>
      <c r="M877" s="9" t="str">
        <f t="shared" si="0"/>
        <v>0-10%</v>
      </c>
    </row>
    <row r="878">
      <c r="A878" s="10">
        <v>44995</v>
      </c>
      <c r="B878" s="9" t="s">
        <v>952</v>
      </c>
      <c r="C878" s="9" t="s">
        <v>14</v>
      </c>
      <c r="D878" s="9" t="s">
        <v>12</v>
      </c>
      <c r="E878" s="9" t="s">
        <v>20</v>
      </c>
      <c r="F878" s="9" t="s">
        <v>80</v>
      </c>
      <c r="G878" s="9">
        <v>247.44</v>
      </c>
      <c r="H878" s="9">
        <v>8</v>
      </c>
      <c r="I878" s="9">
        <v>1979.52</v>
      </c>
      <c r="J878" s="9">
        <v>0.17000000000000001</v>
      </c>
      <c r="K878" s="9">
        <v>39.030000000000001</v>
      </c>
      <c r="L878" s="9" t="s">
        <v>55</v>
      </c>
      <c r="M878" s="9" t="str">
        <f t="shared" si="0"/>
        <v>10-20%</v>
      </c>
    </row>
    <row r="879">
      <c r="A879" s="10">
        <v>45247</v>
      </c>
      <c r="B879" s="9" t="s">
        <v>953</v>
      </c>
      <c r="C879" s="9" t="s">
        <v>16</v>
      </c>
      <c r="D879" s="9" t="s">
        <v>9</v>
      </c>
      <c r="E879" s="9" t="s">
        <v>20</v>
      </c>
      <c r="F879" s="9" t="s">
        <v>80</v>
      </c>
      <c r="G879" s="9">
        <v>201.22</v>
      </c>
      <c r="H879" s="9">
        <v>15</v>
      </c>
      <c r="I879" s="9">
        <v>3018.3000000000002</v>
      </c>
      <c r="J879" s="9">
        <v>0.19</v>
      </c>
      <c r="K879" s="9">
        <v>-410.56</v>
      </c>
      <c r="L879" s="9" t="s">
        <v>58</v>
      </c>
      <c r="M879" s="9" t="str">
        <f t="shared" si="0"/>
        <v>10-20%</v>
      </c>
    </row>
    <row r="880">
      <c r="A880" s="10">
        <v>45207</v>
      </c>
      <c r="B880" s="9" t="s">
        <v>954</v>
      </c>
      <c r="C880" s="9" t="s">
        <v>14</v>
      </c>
      <c r="D880" s="9" t="s">
        <v>12</v>
      </c>
      <c r="E880" s="9" t="s">
        <v>20</v>
      </c>
      <c r="F880" s="9" t="s">
        <v>65</v>
      </c>
      <c r="G880" s="9">
        <v>406.41000000000003</v>
      </c>
      <c r="H880" s="9">
        <v>1</v>
      </c>
      <c r="I880" s="9">
        <v>406.41000000000003</v>
      </c>
      <c r="J880" s="9">
        <v>0.14999999999999999</v>
      </c>
      <c r="K880" s="9">
        <v>21.100000000000001</v>
      </c>
      <c r="L880" s="9" t="s">
        <v>58</v>
      </c>
      <c r="M880" s="9" t="str">
        <f t="shared" si="0"/>
        <v>10-20%</v>
      </c>
    </row>
    <row r="881">
      <c r="A881" s="10">
        <v>44965</v>
      </c>
      <c r="B881" s="9" t="s">
        <v>955</v>
      </c>
      <c r="C881" s="9" t="s">
        <v>17</v>
      </c>
      <c r="D881" s="9" t="s">
        <v>10</v>
      </c>
      <c r="E881" s="9" t="s">
        <v>19</v>
      </c>
      <c r="F881" s="9" t="s">
        <v>57</v>
      </c>
      <c r="G881" s="9">
        <v>413.25999999999999</v>
      </c>
      <c r="H881" s="9">
        <v>15</v>
      </c>
      <c r="I881" s="9">
        <v>6198.8999999999996</v>
      </c>
      <c r="J881" s="9">
        <v>0.29999999999999999</v>
      </c>
      <c r="K881" s="9">
        <v>-1410.4300000000001</v>
      </c>
      <c r="L881" s="9" t="s">
        <v>55</v>
      </c>
      <c r="M881" s="9" t="str">
        <f t="shared" si="0"/>
        <v>10-20%</v>
      </c>
    </row>
    <row r="882">
      <c r="A882" s="10">
        <v>45231</v>
      </c>
      <c r="B882" s="9" t="s">
        <v>956</v>
      </c>
      <c r="C882" s="9" t="s">
        <v>15</v>
      </c>
      <c r="D882" s="9" t="s">
        <v>11</v>
      </c>
      <c r="E882" s="9" t="s">
        <v>20</v>
      </c>
      <c r="F882" s="9" t="s">
        <v>69</v>
      </c>
      <c r="G882" s="9">
        <v>393.75999999999999</v>
      </c>
      <c r="H882" s="9">
        <v>14</v>
      </c>
      <c r="I882" s="9">
        <v>5512.6400000000003</v>
      </c>
      <c r="J882" s="9">
        <v>0.080000000000000002</v>
      </c>
      <c r="K882" s="9">
        <v>718.07000000000005</v>
      </c>
      <c r="L882" s="9" t="s">
        <v>72</v>
      </c>
      <c r="M882" s="9" t="str">
        <f t="shared" si="0"/>
        <v>20%+</v>
      </c>
    </row>
    <row r="883">
      <c r="A883" s="10">
        <v>45166</v>
      </c>
      <c r="B883" s="9" t="s">
        <v>957</v>
      </c>
      <c r="C883" s="9" t="s">
        <v>17</v>
      </c>
      <c r="D883" s="9" t="s">
        <v>10</v>
      </c>
      <c r="E883" s="9" t="s">
        <v>22</v>
      </c>
      <c r="F883" s="9" t="s">
        <v>110</v>
      </c>
      <c r="G883" s="9">
        <v>261.23000000000002</v>
      </c>
      <c r="H883" s="9">
        <v>5</v>
      </c>
      <c r="I883" s="9">
        <v>1306.1500000000001</v>
      </c>
      <c r="J883" s="9">
        <v>0.29999999999999999</v>
      </c>
      <c r="K883" s="9">
        <v>-251.74000000000001</v>
      </c>
      <c r="L883" s="9" t="s">
        <v>55</v>
      </c>
      <c r="M883" s="9" t="str">
        <f t="shared" si="0"/>
        <v>0-10%</v>
      </c>
    </row>
    <row r="884">
      <c r="A884" s="10">
        <v>45211</v>
      </c>
      <c r="B884" s="9" t="s">
        <v>958</v>
      </c>
      <c r="C884" s="9" t="s">
        <v>15</v>
      </c>
      <c r="D884" s="9" t="s">
        <v>11</v>
      </c>
      <c r="E884" s="9" t="s">
        <v>21</v>
      </c>
      <c r="F884" s="9" t="s">
        <v>78</v>
      </c>
      <c r="G884" s="9">
        <v>298.43000000000001</v>
      </c>
      <c r="H884" s="9">
        <v>14</v>
      </c>
      <c r="I884" s="9">
        <v>4178.0200000000004</v>
      </c>
      <c r="J884" s="9">
        <v>0.089999999999999997</v>
      </c>
      <c r="K884" s="9">
        <v>365.32999999999998</v>
      </c>
      <c r="L884" s="9" t="s">
        <v>63</v>
      </c>
      <c r="M884" s="9" t="str">
        <f t="shared" si="0"/>
        <v>20%+</v>
      </c>
    </row>
    <row r="885">
      <c r="A885" s="10">
        <v>45062</v>
      </c>
      <c r="B885" s="9" t="s">
        <v>959</v>
      </c>
      <c r="C885" s="9" t="s">
        <v>14</v>
      </c>
      <c r="D885" s="9" t="s">
        <v>10</v>
      </c>
      <c r="E885" s="9" t="s">
        <v>22</v>
      </c>
      <c r="F885" s="9" t="s">
        <v>110</v>
      </c>
      <c r="G885" s="9">
        <v>445.29000000000002</v>
      </c>
      <c r="H885" s="9">
        <v>11</v>
      </c>
      <c r="I885" s="9">
        <v>4898.1899999999996</v>
      </c>
      <c r="J885" s="9">
        <v>0.22</v>
      </c>
      <c r="K885" s="9">
        <v>-16.59</v>
      </c>
      <c r="L885" s="9" t="s">
        <v>58</v>
      </c>
      <c r="M885" s="9" t="str">
        <f t="shared" si="0"/>
        <v>0-10%</v>
      </c>
    </row>
    <row r="886">
      <c r="A886" s="10">
        <v>45060</v>
      </c>
      <c r="B886" s="9" t="s">
        <v>960</v>
      </c>
      <c r="C886" s="9" t="s">
        <v>17</v>
      </c>
      <c r="D886" s="9" t="s">
        <v>12</v>
      </c>
      <c r="E886" s="9" t="s">
        <v>20</v>
      </c>
      <c r="F886" s="9" t="s">
        <v>69</v>
      </c>
      <c r="G886" s="9">
        <v>237.15000000000001</v>
      </c>
      <c r="H886" s="9">
        <v>3</v>
      </c>
      <c r="I886" s="9">
        <v>711.45000000000005</v>
      </c>
      <c r="J886" s="9">
        <v>0.11</v>
      </c>
      <c r="K886" s="9">
        <v>-37.359999999999999</v>
      </c>
      <c r="L886" s="9" t="s">
        <v>58</v>
      </c>
      <c r="M886" s="9" t="str">
        <f t="shared" si="0"/>
        <v>20%+</v>
      </c>
    </row>
    <row r="887">
      <c r="A887" s="10">
        <v>44983</v>
      </c>
      <c r="B887" s="9" t="s">
        <v>961</v>
      </c>
      <c r="C887" s="9" t="s">
        <v>15</v>
      </c>
      <c r="D887" s="9" t="s">
        <v>10</v>
      </c>
      <c r="E887" s="9" t="s">
        <v>19</v>
      </c>
      <c r="F887" s="9" t="s">
        <v>67</v>
      </c>
      <c r="G887" s="9">
        <v>418.35000000000002</v>
      </c>
      <c r="H887" s="9">
        <v>15</v>
      </c>
      <c r="I887" s="9">
        <v>6275.25</v>
      </c>
      <c r="J887" s="9">
        <v>0.029999999999999999</v>
      </c>
      <c r="K887" s="9">
        <v>145.80000000000001</v>
      </c>
      <c r="L887" s="9" t="s">
        <v>58</v>
      </c>
      <c r="M887" s="9" t="str">
        <f t="shared" si="0"/>
        <v>10-20%</v>
      </c>
    </row>
    <row r="888">
      <c r="A888" s="10">
        <v>45162</v>
      </c>
      <c r="B888" s="9" t="s">
        <v>962</v>
      </c>
      <c r="C888" s="9" t="s">
        <v>17</v>
      </c>
      <c r="D888" s="9" t="s">
        <v>8</v>
      </c>
      <c r="E888" s="9" t="s">
        <v>22</v>
      </c>
      <c r="F888" s="9" t="s">
        <v>110</v>
      </c>
      <c r="G888" s="9">
        <v>224.56</v>
      </c>
      <c r="H888" s="9">
        <v>13</v>
      </c>
      <c r="I888" s="9">
        <v>2919.2800000000002</v>
      </c>
      <c r="J888" s="9">
        <v>0.26000000000000001</v>
      </c>
      <c r="K888" s="9">
        <v>-609.75999999999999</v>
      </c>
      <c r="L888" s="9" t="s">
        <v>72</v>
      </c>
      <c r="M888" s="9" t="str">
        <f t="shared" si="0"/>
        <v>0-10%</v>
      </c>
    </row>
    <row r="889">
      <c r="A889" s="10">
        <v>45284</v>
      </c>
      <c r="B889" s="9" t="s">
        <v>963</v>
      </c>
      <c r="C889" s="9" t="s">
        <v>16</v>
      </c>
      <c r="D889" s="9" t="s">
        <v>9</v>
      </c>
      <c r="E889" s="9" t="s">
        <v>22</v>
      </c>
      <c r="F889" s="9" t="s">
        <v>110</v>
      </c>
      <c r="G889" s="9">
        <v>74.540000000000006</v>
      </c>
      <c r="H889" s="9">
        <v>1</v>
      </c>
      <c r="I889" s="9">
        <v>74.540000000000006</v>
      </c>
      <c r="J889" s="9">
        <v>0</v>
      </c>
      <c r="K889" s="9">
        <v>13.460000000000001</v>
      </c>
      <c r="L889" s="9" t="s">
        <v>63</v>
      </c>
      <c r="M889" s="9" t="str">
        <f t="shared" si="0"/>
        <v>20%+</v>
      </c>
    </row>
    <row r="890">
      <c r="A890" s="10">
        <v>45173</v>
      </c>
      <c r="B890" s="9" t="s">
        <v>964</v>
      </c>
      <c r="C890" s="9" t="s">
        <v>17</v>
      </c>
      <c r="D890" s="9" t="s">
        <v>12</v>
      </c>
      <c r="E890" s="9" t="s">
        <v>19</v>
      </c>
      <c r="F890" s="9" t="s">
        <v>57</v>
      </c>
      <c r="G890" s="9">
        <v>247.90000000000001</v>
      </c>
      <c r="H890" s="9">
        <v>10</v>
      </c>
      <c r="I890" s="9">
        <v>2479</v>
      </c>
      <c r="J890" s="9">
        <v>0.13</v>
      </c>
      <c r="K890" s="9">
        <v>-39.670000000000002</v>
      </c>
      <c r="L890" s="9" t="s">
        <v>55</v>
      </c>
      <c r="M890" s="9" t="str">
        <f t="shared" si="0"/>
        <v>0-10%</v>
      </c>
    </row>
    <row r="891">
      <c r="A891" s="10">
        <v>45210</v>
      </c>
      <c r="B891" s="9" t="s">
        <v>965</v>
      </c>
      <c r="C891" s="9" t="s">
        <v>14</v>
      </c>
      <c r="D891" s="9" t="s">
        <v>12</v>
      </c>
      <c r="E891" s="9" t="s">
        <v>21</v>
      </c>
      <c r="F891" s="9" t="s">
        <v>78</v>
      </c>
      <c r="G891" s="9">
        <v>151.84</v>
      </c>
      <c r="H891" s="9">
        <v>8</v>
      </c>
      <c r="I891" s="9">
        <v>1214.72</v>
      </c>
      <c r="J891" s="9">
        <v>0.26000000000000001</v>
      </c>
      <c r="K891" s="9">
        <v>-141.06</v>
      </c>
      <c r="L891" s="9" t="s">
        <v>63</v>
      </c>
      <c r="M891" s="9" t="str">
        <f t="shared" si="0"/>
        <v>10-20%</v>
      </c>
    </row>
    <row r="892">
      <c r="A892" s="10">
        <v>45105</v>
      </c>
      <c r="B892" s="9" t="s">
        <v>966</v>
      </c>
      <c r="C892" s="9" t="s">
        <v>15</v>
      </c>
      <c r="D892" s="9" t="s">
        <v>11</v>
      </c>
      <c r="E892" s="9" t="s">
        <v>21</v>
      </c>
      <c r="F892" s="9" t="s">
        <v>76</v>
      </c>
      <c r="G892" s="9">
        <v>498.26999999999998</v>
      </c>
      <c r="H892" s="9">
        <v>12</v>
      </c>
      <c r="I892" s="9">
        <v>5979.2399999999998</v>
      </c>
      <c r="J892" s="9">
        <v>0.089999999999999997</v>
      </c>
      <c r="K892" s="9">
        <v>-8.7699999999999996</v>
      </c>
      <c r="L892" s="9" t="s">
        <v>55</v>
      </c>
      <c r="M892" s="9" t="str">
        <f t="shared" si="0"/>
        <v>20%+</v>
      </c>
    </row>
    <row r="893">
      <c r="A893" s="10">
        <v>45051</v>
      </c>
      <c r="B893" s="9" t="s">
        <v>967</v>
      </c>
      <c r="C893" s="9" t="s">
        <v>14</v>
      </c>
      <c r="D893" s="9" t="s">
        <v>8</v>
      </c>
      <c r="E893" s="9" t="s">
        <v>20</v>
      </c>
      <c r="F893" s="9" t="s">
        <v>69</v>
      </c>
      <c r="G893" s="9">
        <v>453.69</v>
      </c>
      <c r="H893" s="9">
        <v>6</v>
      </c>
      <c r="I893" s="9">
        <v>2722.1399999999999</v>
      </c>
      <c r="J893" s="9">
        <v>0.28000000000000003</v>
      </c>
      <c r="K893" s="9">
        <v>-540.88999999999999</v>
      </c>
      <c r="L893" s="9" t="s">
        <v>72</v>
      </c>
      <c r="M893" s="9" t="str">
        <f t="shared" si="0"/>
        <v>0-10%</v>
      </c>
    </row>
    <row r="894">
      <c r="A894" s="10">
        <v>44946</v>
      </c>
      <c r="B894" s="9" t="s">
        <v>968</v>
      </c>
      <c r="C894" s="9" t="s">
        <v>17</v>
      </c>
      <c r="D894" s="9" t="s">
        <v>10</v>
      </c>
      <c r="E894" s="9" t="s">
        <v>20</v>
      </c>
      <c r="F894" s="9" t="s">
        <v>69</v>
      </c>
      <c r="G894" s="9">
        <v>155.41999999999999</v>
      </c>
      <c r="H894" s="9">
        <v>13</v>
      </c>
      <c r="I894" s="9">
        <v>2020.46</v>
      </c>
      <c r="J894" s="9">
        <v>0.23999999999999999</v>
      </c>
      <c r="K894" s="9">
        <v>-313.17000000000002</v>
      </c>
      <c r="L894" s="9" t="s">
        <v>58</v>
      </c>
      <c r="M894" s="9" t="str">
        <f t="shared" si="0"/>
        <v>20%+</v>
      </c>
    </row>
    <row r="895">
      <c r="A895" s="10">
        <v>45156</v>
      </c>
      <c r="B895" s="9" t="s">
        <v>969</v>
      </c>
      <c r="C895" s="9" t="s">
        <v>15</v>
      </c>
      <c r="D895" s="9" t="s">
        <v>10</v>
      </c>
      <c r="E895" s="9" t="s">
        <v>19</v>
      </c>
      <c r="F895" s="9" t="s">
        <v>98</v>
      </c>
      <c r="G895" s="9">
        <v>426.08999999999997</v>
      </c>
      <c r="H895" s="9">
        <v>15</v>
      </c>
      <c r="I895" s="9">
        <v>6391.3500000000004</v>
      </c>
      <c r="J895" s="9">
        <v>0.19</v>
      </c>
      <c r="K895" s="9">
        <v>228.93000000000001</v>
      </c>
      <c r="L895" s="9" t="s">
        <v>63</v>
      </c>
      <c r="M895" s="9" t="str">
        <f t="shared" si="0"/>
        <v>20%+</v>
      </c>
    </row>
    <row r="896">
      <c r="A896" s="10">
        <v>45107</v>
      </c>
      <c r="B896" s="9" t="s">
        <v>970</v>
      </c>
      <c r="C896" s="9" t="s">
        <v>16</v>
      </c>
      <c r="D896" s="9" t="s">
        <v>12</v>
      </c>
      <c r="E896" s="9" t="s">
        <v>19</v>
      </c>
      <c r="F896" s="9" t="s">
        <v>60</v>
      </c>
      <c r="G896" s="9">
        <v>275.57999999999998</v>
      </c>
      <c r="H896" s="9">
        <v>3</v>
      </c>
      <c r="I896" s="9">
        <v>826.74000000000001</v>
      </c>
      <c r="J896" s="9">
        <v>0.070000000000000007</v>
      </c>
      <c r="K896" s="9">
        <v>125.12</v>
      </c>
      <c r="L896" s="9" t="s">
        <v>63</v>
      </c>
      <c r="M896" s="9" t="str">
        <f t="shared" si="0"/>
        <v>10-20%</v>
      </c>
    </row>
    <row r="897">
      <c r="A897" s="10">
        <v>44981</v>
      </c>
      <c r="B897" s="9" t="s">
        <v>971</v>
      </c>
      <c r="C897" s="9" t="s">
        <v>14</v>
      </c>
      <c r="D897" s="9" t="s">
        <v>11</v>
      </c>
      <c r="E897" s="9" t="s">
        <v>19</v>
      </c>
      <c r="F897" s="9" t="s">
        <v>62</v>
      </c>
      <c r="G897" s="9">
        <v>151.78999999999999</v>
      </c>
      <c r="H897" s="9">
        <v>8</v>
      </c>
      <c r="I897" s="9">
        <v>1214.3199999999999</v>
      </c>
      <c r="J897" s="9">
        <v>0.29999999999999999</v>
      </c>
      <c r="K897" s="9">
        <v>-264.23000000000002</v>
      </c>
      <c r="L897" s="9" t="s">
        <v>72</v>
      </c>
      <c r="M897" s="9" t="str">
        <f t="shared" si="0"/>
        <v>0-10%</v>
      </c>
    </row>
    <row r="898">
      <c r="A898" s="10">
        <v>45082</v>
      </c>
      <c r="B898" s="9" t="s">
        <v>972</v>
      </c>
      <c r="C898" s="9" t="s">
        <v>17</v>
      </c>
      <c r="D898" s="9" t="s">
        <v>10</v>
      </c>
      <c r="E898" s="9" t="s">
        <v>19</v>
      </c>
      <c r="F898" s="9" t="s">
        <v>57</v>
      </c>
      <c r="G898" s="9">
        <v>16.190000000000001</v>
      </c>
      <c r="H898" s="9">
        <v>12</v>
      </c>
      <c r="I898" s="9">
        <v>194.28</v>
      </c>
      <c r="J898" s="9">
        <v>0</v>
      </c>
      <c r="K898" s="9">
        <v>46.090000000000003</v>
      </c>
      <c r="L898" s="9" t="s">
        <v>63</v>
      </c>
      <c r="M898" s="9" t="str">
        <f t="shared" si="0"/>
        <v>20%+</v>
      </c>
    </row>
    <row r="899">
      <c r="A899" s="10">
        <v>45254</v>
      </c>
      <c r="B899" s="9" t="s">
        <v>973</v>
      </c>
      <c r="C899" s="9" t="s">
        <v>15</v>
      </c>
      <c r="D899" s="9" t="s">
        <v>8</v>
      </c>
      <c r="E899" s="9" t="s">
        <v>22</v>
      </c>
      <c r="F899" s="9" t="s">
        <v>110</v>
      </c>
      <c r="G899" s="9">
        <v>332.58999999999997</v>
      </c>
      <c r="H899" s="9">
        <v>2</v>
      </c>
      <c r="I899" s="9">
        <v>665.17999999999995</v>
      </c>
      <c r="J899" s="9">
        <v>0.14999999999999999</v>
      </c>
      <c r="K899" s="9">
        <v>60.170000000000002</v>
      </c>
      <c r="L899" s="9" t="s">
        <v>63</v>
      </c>
      <c r="M899" s="9" t="str">
        <f t="shared" si="0"/>
        <v>0-10%</v>
      </c>
    </row>
    <row r="900">
      <c r="A900" s="10">
        <v>45171</v>
      </c>
      <c r="B900" s="9" t="s">
        <v>974</v>
      </c>
      <c r="C900" s="9" t="s">
        <v>16</v>
      </c>
      <c r="D900" s="9" t="s">
        <v>10</v>
      </c>
      <c r="E900" s="9" t="s">
        <v>21</v>
      </c>
      <c r="F900" s="9" t="s">
        <v>96</v>
      </c>
      <c r="G900" s="9">
        <v>435.27999999999997</v>
      </c>
      <c r="H900" s="9">
        <v>2</v>
      </c>
      <c r="I900" s="9">
        <v>870.55999999999995</v>
      </c>
      <c r="J900" s="9">
        <v>0.17999999999999999</v>
      </c>
      <c r="K900" s="9">
        <v>-25.859999999999999</v>
      </c>
      <c r="L900" s="9" t="s">
        <v>55</v>
      </c>
      <c r="M900" s="9" t="str">
        <f t="shared" si="0"/>
        <v>10-20%</v>
      </c>
    </row>
    <row r="901">
      <c r="A901" s="10">
        <v>45033</v>
      </c>
      <c r="B901" s="9" t="s">
        <v>975</v>
      </c>
      <c r="C901" s="9" t="s">
        <v>16</v>
      </c>
      <c r="D901" s="9" t="s">
        <v>12</v>
      </c>
      <c r="E901" s="9" t="s">
        <v>22</v>
      </c>
      <c r="F901" s="9" t="s">
        <v>110</v>
      </c>
      <c r="G901" s="9">
        <v>442.31</v>
      </c>
      <c r="H901" s="9">
        <v>3</v>
      </c>
      <c r="I901" s="9">
        <v>1326.9300000000001</v>
      </c>
      <c r="J901" s="9">
        <v>0.17999999999999999</v>
      </c>
      <c r="K901" s="9">
        <v>85.269999999999996</v>
      </c>
      <c r="L901" s="9" t="s">
        <v>58</v>
      </c>
      <c r="M901" s="9" t="str">
        <f t="shared" si="0"/>
        <v>10-20%</v>
      </c>
    </row>
    <row r="902">
      <c r="A902" s="10">
        <v>44996</v>
      </c>
      <c r="B902" s="9" t="s">
        <v>976</v>
      </c>
      <c r="C902" s="9" t="s">
        <v>17</v>
      </c>
      <c r="D902" s="9" t="s">
        <v>12</v>
      </c>
      <c r="E902" s="9" t="s">
        <v>22</v>
      </c>
      <c r="F902" s="9" t="s">
        <v>54</v>
      </c>
      <c r="G902" s="9">
        <v>305.56</v>
      </c>
      <c r="H902" s="9">
        <v>6</v>
      </c>
      <c r="I902" s="9">
        <v>1833.3599999999999</v>
      </c>
      <c r="J902" s="9">
        <v>0.080000000000000002</v>
      </c>
      <c r="K902" s="9">
        <v>15.32</v>
      </c>
      <c r="L902" s="9" t="s">
        <v>63</v>
      </c>
      <c r="M902" s="9" t="str">
        <f t="shared" si="0"/>
        <v>10-20%</v>
      </c>
    </row>
    <row r="903">
      <c r="A903" s="10">
        <v>45025</v>
      </c>
      <c r="B903" s="9" t="s">
        <v>977</v>
      </c>
      <c r="C903" s="9" t="s">
        <v>15</v>
      </c>
      <c r="D903" s="9" t="s">
        <v>10</v>
      </c>
      <c r="E903" s="9" t="s">
        <v>21</v>
      </c>
      <c r="F903" s="9" t="s">
        <v>82</v>
      </c>
      <c r="G903" s="9">
        <v>153.91</v>
      </c>
      <c r="H903" s="9">
        <v>1</v>
      </c>
      <c r="I903" s="9">
        <v>153.91</v>
      </c>
      <c r="J903" s="9">
        <v>0</v>
      </c>
      <c r="K903" s="9">
        <v>31.41</v>
      </c>
      <c r="L903" s="9" t="s">
        <v>55</v>
      </c>
      <c r="M903" s="9" t="str">
        <f t="shared" si="0"/>
        <v>0-10%</v>
      </c>
    </row>
    <row r="904">
      <c r="A904" s="10">
        <v>44992</v>
      </c>
      <c r="B904" s="9" t="s">
        <v>978</v>
      </c>
      <c r="C904" s="9" t="s">
        <v>14</v>
      </c>
      <c r="D904" s="9" t="s">
        <v>12</v>
      </c>
      <c r="E904" s="9" t="s">
        <v>20</v>
      </c>
      <c r="F904" s="9" t="s">
        <v>69</v>
      </c>
      <c r="G904" s="9">
        <v>162.40000000000001</v>
      </c>
      <c r="H904" s="9">
        <v>4</v>
      </c>
      <c r="I904" s="9">
        <v>649.60000000000002</v>
      </c>
      <c r="J904" s="9">
        <v>0.11</v>
      </c>
      <c r="K904" s="9">
        <v>59.960000000000001</v>
      </c>
      <c r="L904" s="9" t="s">
        <v>63</v>
      </c>
      <c r="M904" s="9" t="str">
        <f t="shared" si="0"/>
        <v>0-10%</v>
      </c>
    </row>
    <row r="905">
      <c r="A905" s="10">
        <v>45006</v>
      </c>
      <c r="B905" s="9" t="s">
        <v>979</v>
      </c>
      <c r="C905" s="9" t="s">
        <v>15</v>
      </c>
      <c r="D905" s="9" t="s">
        <v>12</v>
      </c>
      <c r="E905" s="9" t="s">
        <v>20</v>
      </c>
      <c r="F905" s="9" t="s">
        <v>65</v>
      </c>
      <c r="G905" s="9">
        <v>103.13</v>
      </c>
      <c r="H905" s="9">
        <v>7</v>
      </c>
      <c r="I905" s="9">
        <v>721.90999999999997</v>
      </c>
      <c r="J905" s="9">
        <v>0.20000000000000001</v>
      </c>
      <c r="K905" s="9">
        <v>-100.72</v>
      </c>
      <c r="L905" s="9" t="s">
        <v>55</v>
      </c>
      <c r="M905" s="9" t="str">
        <f t="shared" si="0"/>
        <v>10-20%</v>
      </c>
    </row>
    <row r="906">
      <c r="A906" s="10">
        <v>45063</v>
      </c>
      <c r="B906" s="9" t="s">
        <v>980</v>
      </c>
      <c r="C906" s="9" t="s">
        <v>14</v>
      </c>
      <c r="D906" s="9" t="s">
        <v>11</v>
      </c>
      <c r="E906" s="9" t="s">
        <v>20</v>
      </c>
      <c r="F906" s="9" t="s">
        <v>69</v>
      </c>
      <c r="G906" s="9">
        <v>397.80000000000001</v>
      </c>
      <c r="H906" s="9">
        <v>2</v>
      </c>
      <c r="I906" s="9">
        <v>795.60000000000002</v>
      </c>
      <c r="J906" s="9">
        <v>0.12</v>
      </c>
      <c r="K906" s="9">
        <v>66.900000000000006</v>
      </c>
      <c r="L906" s="9" t="s">
        <v>72</v>
      </c>
      <c r="M906" s="9" t="str">
        <f t="shared" si="0"/>
        <v>10-20%</v>
      </c>
    </row>
    <row r="907">
      <c r="A907" s="10">
        <v>45200</v>
      </c>
      <c r="B907" s="9" t="s">
        <v>981</v>
      </c>
      <c r="C907" s="9" t="s">
        <v>16</v>
      </c>
      <c r="D907" s="9" t="s">
        <v>11</v>
      </c>
      <c r="E907" s="9" t="s">
        <v>19</v>
      </c>
      <c r="F907" s="9" t="s">
        <v>67</v>
      </c>
      <c r="G907" s="9">
        <v>447.56</v>
      </c>
      <c r="H907" s="9">
        <v>12</v>
      </c>
      <c r="I907" s="9">
        <v>5370.7200000000003</v>
      </c>
      <c r="J907" s="9">
        <v>0.17000000000000001</v>
      </c>
      <c r="K907" s="9">
        <v>-235.44</v>
      </c>
      <c r="L907" s="9" t="s">
        <v>63</v>
      </c>
      <c r="M907" s="9" t="str">
        <f t="shared" si="0"/>
        <v>10-20%</v>
      </c>
    </row>
    <row r="908">
      <c r="A908" s="10">
        <v>45235</v>
      </c>
      <c r="B908" s="9" t="s">
        <v>982</v>
      </c>
      <c r="C908" s="9" t="s">
        <v>14</v>
      </c>
      <c r="D908" s="9" t="s">
        <v>10</v>
      </c>
      <c r="E908" s="9" t="s">
        <v>22</v>
      </c>
      <c r="F908" s="9" t="s">
        <v>125</v>
      </c>
      <c r="G908" s="9">
        <v>278.62</v>
      </c>
      <c r="H908" s="9">
        <v>10</v>
      </c>
      <c r="I908" s="9">
        <v>2786.1999999999998</v>
      </c>
      <c r="J908" s="9">
        <v>0.23999999999999999</v>
      </c>
      <c r="K908" s="9">
        <v>-221.97999999999999</v>
      </c>
      <c r="L908" s="9" t="s">
        <v>58</v>
      </c>
      <c r="M908" s="9" t="str">
        <f t="shared" si="0"/>
        <v>10-20%</v>
      </c>
    </row>
    <row r="909">
      <c r="A909" s="10">
        <v>45115</v>
      </c>
      <c r="B909" s="9" t="s">
        <v>983</v>
      </c>
      <c r="C909" s="9" t="s">
        <v>15</v>
      </c>
      <c r="D909" s="9" t="s">
        <v>9</v>
      </c>
      <c r="E909" s="9" t="s">
        <v>20</v>
      </c>
      <c r="F909" s="9" t="s">
        <v>69</v>
      </c>
      <c r="G909" s="9">
        <v>239.83000000000001</v>
      </c>
      <c r="H909" s="9">
        <v>3</v>
      </c>
      <c r="I909" s="9">
        <v>719.49000000000001</v>
      </c>
      <c r="J909" s="9">
        <v>0.17000000000000001</v>
      </c>
      <c r="K909" s="9">
        <v>-63.780000000000001</v>
      </c>
      <c r="L909" s="9" t="s">
        <v>63</v>
      </c>
      <c r="M909" s="9" t="str">
        <f t="shared" si="0"/>
        <v>20%+</v>
      </c>
    </row>
    <row r="910">
      <c r="A910" s="10">
        <v>45167</v>
      </c>
      <c r="B910" s="9" t="s">
        <v>984</v>
      </c>
      <c r="C910" s="9" t="s">
        <v>14</v>
      </c>
      <c r="D910" s="9" t="s">
        <v>12</v>
      </c>
      <c r="E910" s="9" t="s">
        <v>19</v>
      </c>
      <c r="F910" s="9" t="s">
        <v>98</v>
      </c>
      <c r="G910" s="9">
        <v>27.399999999999999</v>
      </c>
      <c r="H910" s="9">
        <v>14</v>
      </c>
      <c r="I910" s="9">
        <v>383.60000000000002</v>
      </c>
      <c r="J910" s="9">
        <v>0.02</v>
      </c>
      <c r="K910" s="9">
        <v>19.829999999999998</v>
      </c>
      <c r="L910" s="9" t="s">
        <v>63</v>
      </c>
      <c r="M910" s="9" t="str">
        <f t="shared" si="0"/>
        <v>10-20%</v>
      </c>
    </row>
    <row r="911">
      <c r="A911" s="10">
        <v>45173</v>
      </c>
      <c r="B911" s="9" t="s">
        <v>985</v>
      </c>
      <c r="C911" s="9" t="s">
        <v>17</v>
      </c>
      <c r="D911" s="9" t="s">
        <v>12</v>
      </c>
      <c r="E911" s="9" t="s">
        <v>19</v>
      </c>
      <c r="F911" s="9" t="s">
        <v>62</v>
      </c>
      <c r="G911" s="9">
        <v>255.41999999999999</v>
      </c>
      <c r="H911" s="9">
        <v>7</v>
      </c>
      <c r="I911" s="9">
        <v>1787.9400000000001</v>
      </c>
      <c r="J911" s="9">
        <v>0.14999999999999999</v>
      </c>
      <c r="K911" s="9">
        <v>-97.120000000000005</v>
      </c>
      <c r="L911" s="9" t="s">
        <v>72</v>
      </c>
      <c r="M911" s="9" t="str">
        <f t="shared" si="0"/>
        <v>0-10%</v>
      </c>
    </row>
    <row r="912">
      <c r="A912" s="10">
        <v>44996</v>
      </c>
      <c r="B912" s="9" t="s">
        <v>986</v>
      </c>
      <c r="C912" s="9" t="s">
        <v>14</v>
      </c>
      <c r="D912" s="9" t="s">
        <v>12</v>
      </c>
      <c r="E912" s="9" t="s">
        <v>19</v>
      </c>
      <c r="F912" s="9" t="s">
        <v>62</v>
      </c>
      <c r="G912" s="9">
        <v>117.19</v>
      </c>
      <c r="H912" s="9">
        <v>7</v>
      </c>
      <c r="I912" s="9">
        <v>820.33000000000004</v>
      </c>
      <c r="J912" s="9">
        <v>0.02</v>
      </c>
      <c r="K912" s="9">
        <v>122.20999999999999</v>
      </c>
      <c r="L912" s="9" t="s">
        <v>63</v>
      </c>
      <c r="M912" s="9" t="str">
        <f t="shared" si="0"/>
        <v>10-20%</v>
      </c>
    </row>
    <row r="913">
      <c r="A913" s="10">
        <v>45045</v>
      </c>
      <c r="B913" s="9" t="s">
        <v>987</v>
      </c>
      <c r="C913" s="9" t="s">
        <v>14</v>
      </c>
      <c r="D913" s="9" t="s">
        <v>10</v>
      </c>
      <c r="E913" s="9" t="s">
        <v>21</v>
      </c>
      <c r="F913" s="9" t="s">
        <v>88</v>
      </c>
      <c r="G913" s="9">
        <v>70.079999999999998</v>
      </c>
      <c r="H913" s="9">
        <v>13</v>
      </c>
      <c r="I913" s="9">
        <v>911.03999999999996</v>
      </c>
      <c r="J913" s="9">
        <v>0.12</v>
      </c>
      <c r="K913" s="9">
        <v>-48.670000000000002</v>
      </c>
      <c r="L913" s="9" t="s">
        <v>58</v>
      </c>
      <c r="M913" s="9" t="str">
        <f t="shared" si="0"/>
        <v>0-10%</v>
      </c>
    </row>
    <row r="914">
      <c r="A914" s="10">
        <v>45047</v>
      </c>
      <c r="B914" s="9" t="s">
        <v>988</v>
      </c>
      <c r="C914" s="9" t="s">
        <v>14</v>
      </c>
      <c r="D914" s="9" t="s">
        <v>8</v>
      </c>
      <c r="E914" s="9" t="s">
        <v>21</v>
      </c>
      <c r="F914" s="9" t="s">
        <v>76</v>
      </c>
      <c r="G914" s="9">
        <v>104.69</v>
      </c>
      <c r="H914" s="9">
        <v>2</v>
      </c>
      <c r="I914" s="9">
        <v>209.38</v>
      </c>
      <c r="J914" s="9">
        <v>0.20999999999999999</v>
      </c>
      <c r="K914" s="9">
        <v>-21.41</v>
      </c>
      <c r="L914" s="9" t="s">
        <v>55</v>
      </c>
      <c r="M914" s="9" t="str">
        <f t="shared" si="0"/>
        <v>10-20%</v>
      </c>
    </row>
    <row r="915">
      <c r="A915" s="10">
        <v>44991</v>
      </c>
      <c r="B915" s="9" t="s">
        <v>989</v>
      </c>
      <c r="C915" s="9" t="s">
        <v>14</v>
      </c>
      <c r="D915" s="9" t="s">
        <v>10</v>
      </c>
      <c r="E915" s="9" t="s">
        <v>21</v>
      </c>
      <c r="F915" s="9" t="s">
        <v>88</v>
      </c>
      <c r="G915" s="9">
        <v>498.76999999999998</v>
      </c>
      <c r="H915" s="9">
        <v>11</v>
      </c>
      <c r="I915" s="9">
        <v>5486.4700000000003</v>
      </c>
      <c r="J915" s="9">
        <v>0.28000000000000003</v>
      </c>
      <c r="K915" s="9">
        <v>-535.75999999999999</v>
      </c>
      <c r="L915" s="9" t="s">
        <v>58</v>
      </c>
      <c r="M915" s="9" t="str">
        <f t="shared" si="0"/>
        <v>20%+</v>
      </c>
    </row>
    <row r="916">
      <c r="A916" s="10">
        <v>45072</v>
      </c>
      <c r="B916" s="9" t="s">
        <v>990</v>
      </c>
      <c r="C916" s="9" t="s">
        <v>16</v>
      </c>
      <c r="D916" s="9" t="s">
        <v>8</v>
      </c>
      <c r="E916" s="9" t="s">
        <v>22</v>
      </c>
      <c r="F916" s="9" t="s">
        <v>125</v>
      </c>
      <c r="G916" s="9">
        <v>36.420000000000002</v>
      </c>
      <c r="H916" s="9">
        <v>13</v>
      </c>
      <c r="I916" s="9">
        <v>473.45999999999998</v>
      </c>
      <c r="J916" s="9">
        <v>0.11</v>
      </c>
      <c r="K916" s="9">
        <v>12.77</v>
      </c>
      <c r="L916" s="9" t="s">
        <v>58</v>
      </c>
      <c r="M916" s="9" t="str">
        <f t="shared" si="0"/>
        <v>20%+</v>
      </c>
    </row>
    <row r="917">
      <c r="A917" s="10">
        <v>45038</v>
      </c>
      <c r="B917" s="9" t="s">
        <v>991</v>
      </c>
      <c r="C917" s="9" t="s">
        <v>16</v>
      </c>
      <c r="D917" s="9" t="s">
        <v>8</v>
      </c>
      <c r="E917" s="9" t="s">
        <v>21</v>
      </c>
      <c r="F917" s="9" t="s">
        <v>76</v>
      </c>
      <c r="G917" s="9">
        <v>147.41999999999999</v>
      </c>
      <c r="H917" s="9">
        <v>3</v>
      </c>
      <c r="I917" s="9">
        <v>442.25999999999999</v>
      </c>
      <c r="J917" s="9">
        <v>0.10000000000000001</v>
      </c>
      <c r="K917" s="9">
        <v>21.719999999999999</v>
      </c>
      <c r="L917" s="9" t="s">
        <v>58</v>
      </c>
      <c r="M917" s="9" t="str">
        <f t="shared" si="0"/>
        <v>10-20%</v>
      </c>
    </row>
    <row r="918">
      <c r="A918" s="10">
        <v>45058</v>
      </c>
      <c r="B918" s="9" t="s">
        <v>992</v>
      </c>
      <c r="C918" s="9" t="s">
        <v>14</v>
      </c>
      <c r="D918" s="9" t="s">
        <v>12</v>
      </c>
      <c r="E918" s="9" t="s">
        <v>21</v>
      </c>
      <c r="F918" s="9" t="s">
        <v>76</v>
      </c>
      <c r="G918" s="9">
        <v>192.69</v>
      </c>
      <c r="H918" s="9">
        <v>2</v>
      </c>
      <c r="I918" s="9">
        <v>385.38</v>
      </c>
      <c r="J918" s="9">
        <v>0.14000000000000001</v>
      </c>
      <c r="K918" s="9">
        <v>-7.5999999999999996</v>
      </c>
      <c r="L918" s="9" t="s">
        <v>58</v>
      </c>
      <c r="M918" s="9" t="str">
        <f t="shared" si="0"/>
        <v>0-10%</v>
      </c>
    </row>
    <row r="919">
      <c r="A919" s="10">
        <v>45235</v>
      </c>
      <c r="B919" s="9" t="s">
        <v>993</v>
      </c>
      <c r="C919" s="9" t="s">
        <v>17</v>
      </c>
      <c r="D919" s="9" t="s">
        <v>8</v>
      </c>
      <c r="E919" s="9" t="s">
        <v>22</v>
      </c>
      <c r="F919" s="9" t="s">
        <v>54</v>
      </c>
      <c r="G919" s="9">
        <v>160.91</v>
      </c>
      <c r="H919" s="9">
        <v>6</v>
      </c>
      <c r="I919" s="9">
        <v>965.46000000000004</v>
      </c>
      <c r="J919" s="9">
        <v>0.26000000000000001</v>
      </c>
      <c r="K919" s="9">
        <v>-54.25</v>
      </c>
      <c r="L919" s="9" t="s">
        <v>55</v>
      </c>
      <c r="M919" s="9" t="str">
        <f t="shared" si="0"/>
        <v>10-20%</v>
      </c>
    </row>
    <row r="920">
      <c r="A920" s="10">
        <v>45010</v>
      </c>
      <c r="B920" s="9" t="s">
        <v>994</v>
      </c>
      <c r="C920" s="9" t="s">
        <v>15</v>
      </c>
      <c r="D920" s="9" t="s">
        <v>11</v>
      </c>
      <c r="E920" s="9" t="s">
        <v>21</v>
      </c>
      <c r="F920" s="9" t="s">
        <v>76</v>
      </c>
      <c r="G920" s="9">
        <v>345.10000000000002</v>
      </c>
      <c r="H920" s="9">
        <v>2</v>
      </c>
      <c r="I920" s="9">
        <v>690.20000000000005</v>
      </c>
      <c r="J920" s="9">
        <v>0.26000000000000001</v>
      </c>
      <c r="K920" s="9">
        <v>-80.390000000000001</v>
      </c>
      <c r="L920" s="9" t="s">
        <v>72</v>
      </c>
      <c r="M920" s="9" t="str">
        <f t="shared" si="0"/>
        <v>20%+</v>
      </c>
    </row>
    <row r="921">
      <c r="A921" s="10">
        <v>45003</v>
      </c>
      <c r="B921" s="9" t="s">
        <v>995</v>
      </c>
      <c r="C921" s="9" t="s">
        <v>14</v>
      </c>
      <c r="D921" s="9" t="s">
        <v>8</v>
      </c>
      <c r="E921" s="9" t="s">
        <v>22</v>
      </c>
      <c r="F921" s="9" t="s">
        <v>54</v>
      </c>
      <c r="G921" s="9">
        <v>458.14999999999998</v>
      </c>
      <c r="H921" s="9">
        <v>7</v>
      </c>
      <c r="I921" s="9">
        <v>3207.0500000000002</v>
      </c>
      <c r="J921" s="9">
        <v>0.02</v>
      </c>
      <c r="K921" s="9">
        <v>736.83000000000004</v>
      </c>
      <c r="L921" s="9" t="s">
        <v>63</v>
      </c>
      <c r="M921" s="9" t="str">
        <f t="shared" si="0"/>
        <v>20%+</v>
      </c>
    </row>
    <row r="922">
      <c r="A922" s="10">
        <v>44930</v>
      </c>
      <c r="B922" s="9" t="s">
        <v>996</v>
      </c>
      <c r="C922" s="9" t="s">
        <v>14</v>
      </c>
      <c r="D922" s="9" t="s">
        <v>12</v>
      </c>
      <c r="E922" s="9" t="s">
        <v>19</v>
      </c>
      <c r="F922" s="9" t="s">
        <v>62</v>
      </c>
      <c r="G922" s="9">
        <v>28.350000000000001</v>
      </c>
      <c r="H922" s="9">
        <v>9</v>
      </c>
      <c r="I922" s="9">
        <v>255.15000000000001</v>
      </c>
      <c r="J922" s="9">
        <v>0.28999999999999998</v>
      </c>
      <c r="K922" s="9">
        <v>-34.560000000000002</v>
      </c>
      <c r="L922" s="9" t="s">
        <v>55</v>
      </c>
      <c r="M922" s="9" t="str">
        <f t="shared" si="0"/>
        <v>0-10%</v>
      </c>
    </row>
    <row r="923">
      <c r="A923" s="10">
        <v>45197</v>
      </c>
      <c r="B923" s="9" t="s">
        <v>997</v>
      </c>
      <c r="C923" s="9" t="s">
        <v>17</v>
      </c>
      <c r="D923" s="9" t="s">
        <v>8</v>
      </c>
      <c r="E923" s="9" t="s">
        <v>20</v>
      </c>
      <c r="F923" s="9" t="s">
        <v>69</v>
      </c>
      <c r="G923" s="9">
        <v>348.45999999999998</v>
      </c>
      <c r="H923" s="9">
        <v>2</v>
      </c>
      <c r="I923" s="9">
        <v>696.91999999999996</v>
      </c>
      <c r="J923" s="9">
        <v>0.17000000000000001</v>
      </c>
      <c r="K923" s="9">
        <v>-19.16</v>
      </c>
      <c r="L923" s="9" t="s">
        <v>63</v>
      </c>
      <c r="M923" s="9" t="str">
        <f t="shared" si="0"/>
        <v>20%+</v>
      </c>
    </row>
    <row r="924">
      <c r="A924" s="10">
        <v>45038</v>
      </c>
      <c r="B924" s="9" t="s">
        <v>998</v>
      </c>
      <c r="C924" s="9" t="s">
        <v>16</v>
      </c>
      <c r="D924" s="9" t="s">
        <v>9</v>
      </c>
      <c r="E924" s="9" t="s">
        <v>20</v>
      </c>
      <c r="F924" s="9" t="s">
        <v>69</v>
      </c>
      <c r="G924" s="9">
        <v>202.41999999999999</v>
      </c>
      <c r="H924" s="9">
        <v>8</v>
      </c>
      <c r="I924" s="9">
        <v>1619.3599999999999</v>
      </c>
      <c r="J924" s="9">
        <v>0.050000000000000003</v>
      </c>
      <c r="K924" s="9">
        <v>7.3899999999999997</v>
      </c>
      <c r="L924" s="9" t="s">
        <v>55</v>
      </c>
      <c r="M924" s="9" t="str">
        <f t="shared" si="0"/>
        <v>10-20%</v>
      </c>
    </row>
    <row r="925">
      <c r="A925" s="10">
        <v>45207</v>
      </c>
      <c r="B925" s="9" t="s">
        <v>999</v>
      </c>
      <c r="C925" s="9" t="s">
        <v>16</v>
      </c>
      <c r="D925" s="9" t="s">
        <v>9</v>
      </c>
      <c r="E925" s="9" t="s">
        <v>19</v>
      </c>
      <c r="F925" s="9" t="s">
        <v>60</v>
      </c>
      <c r="G925" s="9">
        <v>227.78</v>
      </c>
      <c r="H925" s="9">
        <v>5</v>
      </c>
      <c r="I925" s="9">
        <v>1138.9000000000001</v>
      </c>
      <c r="J925" s="9">
        <v>0.059999999999999998</v>
      </c>
      <c r="K925" s="9">
        <v>43.539999999999999</v>
      </c>
      <c r="L925" s="9" t="s">
        <v>55</v>
      </c>
      <c r="M925" s="9" t="str">
        <f t="shared" si="0"/>
        <v>0-10%</v>
      </c>
    </row>
    <row r="926">
      <c r="A926" s="10">
        <v>45154</v>
      </c>
      <c r="B926" s="9" t="s">
        <v>1000</v>
      </c>
      <c r="C926" s="9" t="s">
        <v>17</v>
      </c>
      <c r="D926" s="9" t="s">
        <v>10</v>
      </c>
      <c r="E926" s="9" t="s">
        <v>22</v>
      </c>
      <c r="F926" s="9" t="s">
        <v>54</v>
      </c>
      <c r="G926" s="9">
        <v>265.82999999999998</v>
      </c>
      <c r="H926" s="9">
        <v>9</v>
      </c>
      <c r="I926" s="9">
        <v>2392.4699999999998</v>
      </c>
      <c r="J926" s="9">
        <v>0.17999999999999999</v>
      </c>
      <c r="K926" s="9">
        <v>-43.909999999999997</v>
      </c>
      <c r="L926" s="9" t="s">
        <v>58</v>
      </c>
      <c r="M926" s="9" t="str">
        <f t="shared" si="0"/>
        <v>0-10%</v>
      </c>
    </row>
    <row r="927">
      <c r="A927" s="10">
        <v>45118</v>
      </c>
      <c r="B927" s="9" t="s">
        <v>1001</v>
      </c>
      <c r="C927" s="9" t="s">
        <v>14</v>
      </c>
      <c r="D927" s="9" t="s">
        <v>8</v>
      </c>
      <c r="E927" s="9" t="s">
        <v>21</v>
      </c>
      <c r="F927" s="9" t="s">
        <v>88</v>
      </c>
      <c r="G927" s="9">
        <v>111.83</v>
      </c>
      <c r="H927" s="9">
        <v>4</v>
      </c>
      <c r="I927" s="9">
        <v>447.31999999999999</v>
      </c>
      <c r="J927" s="9">
        <v>0.17000000000000001</v>
      </c>
      <c r="K927" s="9">
        <v>-43.710000000000001</v>
      </c>
      <c r="L927" s="9" t="s">
        <v>58</v>
      </c>
      <c r="M927" s="9" t="str">
        <f t="shared" si="0"/>
        <v>10-20%</v>
      </c>
    </row>
    <row r="928">
      <c r="A928" s="10">
        <v>45092</v>
      </c>
      <c r="B928" s="9" t="s">
        <v>1002</v>
      </c>
      <c r="C928" s="9" t="s">
        <v>14</v>
      </c>
      <c r="D928" s="9" t="s">
        <v>9</v>
      </c>
      <c r="E928" s="9" t="s">
        <v>19</v>
      </c>
      <c r="F928" s="9" t="s">
        <v>57</v>
      </c>
      <c r="G928" s="9">
        <v>39.609999999999999</v>
      </c>
      <c r="H928" s="9">
        <v>11</v>
      </c>
      <c r="I928" s="9">
        <v>435.70999999999998</v>
      </c>
      <c r="J928" s="9">
        <v>0.02</v>
      </c>
      <c r="K928" s="9">
        <v>39.780000000000001</v>
      </c>
      <c r="L928" s="9" t="s">
        <v>63</v>
      </c>
      <c r="M928" s="9" t="str">
        <f t="shared" si="0"/>
        <v>10-20%</v>
      </c>
    </row>
    <row r="929">
      <c r="A929" s="10">
        <v>45234</v>
      </c>
      <c r="B929" s="9" t="s">
        <v>1003</v>
      </c>
      <c r="C929" s="9" t="s">
        <v>15</v>
      </c>
      <c r="D929" s="9" t="s">
        <v>8</v>
      </c>
      <c r="E929" s="9" t="s">
        <v>21</v>
      </c>
      <c r="F929" s="9" t="s">
        <v>76</v>
      </c>
      <c r="G929" s="9">
        <v>424.94</v>
      </c>
      <c r="H929" s="9">
        <v>10</v>
      </c>
      <c r="I929" s="9">
        <v>4249.3999999999996</v>
      </c>
      <c r="J929" s="9">
        <v>0.19</v>
      </c>
      <c r="K929" s="9">
        <v>-96.349999999999994</v>
      </c>
      <c r="L929" s="9" t="s">
        <v>58</v>
      </c>
      <c r="M929" s="9" t="str">
        <f t="shared" si="0"/>
        <v>0-10%</v>
      </c>
    </row>
    <row r="930">
      <c r="A930" s="10">
        <v>45044</v>
      </c>
      <c r="B930" s="9" t="s">
        <v>1004</v>
      </c>
      <c r="C930" s="9" t="s">
        <v>14</v>
      </c>
      <c r="D930" s="9" t="s">
        <v>10</v>
      </c>
      <c r="E930" s="9" t="s">
        <v>22</v>
      </c>
      <c r="F930" s="9" t="s">
        <v>110</v>
      </c>
      <c r="G930" s="9">
        <v>30.010000000000002</v>
      </c>
      <c r="H930" s="9">
        <v>6</v>
      </c>
      <c r="I930" s="9">
        <v>180.06</v>
      </c>
      <c r="J930" s="9">
        <v>0</v>
      </c>
      <c r="K930" s="9">
        <v>20.609999999999999</v>
      </c>
      <c r="L930" s="9" t="s">
        <v>72</v>
      </c>
      <c r="M930" s="9" t="str">
        <f t="shared" si="0"/>
        <v>10-20%</v>
      </c>
    </row>
    <row r="931">
      <c r="A931" s="10">
        <v>45222</v>
      </c>
      <c r="B931" s="9" t="s">
        <v>1005</v>
      </c>
      <c r="C931" s="9" t="s">
        <v>14</v>
      </c>
      <c r="D931" s="9" t="s">
        <v>10</v>
      </c>
      <c r="E931" s="9" t="s">
        <v>19</v>
      </c>
      <c r="F931" s="9" t="s">
        <v>60</v>
      </c>
      <c r="G931" s="9">
        <v>423.36000000000001</v>
      </c>
      <c r="H931" s="9">
        <v>4</v>
      </c>
      <c r="I931" s="9">
        <v>1693.4400000000001</v>
      </c>
      <c r="J931" s="9">
        <v>0.050000000000000003</v>
      </c>
      <c r="K931" s="9">
        <v>260.33999999999997</v>
      </c>
      <c r="L931" s="9" t="s">
        <v>58</v>
      </c>
      <c r="M931" s="9" t="str">
        <f t="shared" si="0"/>
        <v>0-10%</v>
      </c>
    </row>
    <row r="932">
      <c r="A932" s="10">
        <v>45069</v>
      </c>
      <c r="B932" s="9" t="s">
        <v>1006</v>
      </c>
      <c r="C932" s="9" t="s">
        <v>16</v>
      </c>
      <c r="D932" s="9" t="s">
        <v>12</v>
      </c>
      <c r="E932" s="9" t="s">
        <v>20</v>
      </c>
      <c r="F932" s="9" t="s">
        <v>65</v>
      </c>
      <c r="G932" s="9">
        <v>341.38999999999999</v>
      </c>
      <c r="H932" s="9">
        <v>3</v>
      </c>
      <c r="I932" s="9">
        <v>1024.1700000000001</v>
      </c>
      <c r="J932" s="9">
        <v>0.080000000000000002</v>
      </c>
      <c r="K932" s="9">
        <v>-24.460000000000001</v>
      </c>
      <c r="L932" s="9" t="s">
        <v>58</v>
      </c>
      <c r="M932" s="9" t="str">
        <f t="shared" si="0"/>
        <v>0-10%</v>
      </c>
    </row>
    <row r="933">
      <c r="A933" s="10">
        <v>45155</v>
      </c>
      <c r="B933" s="9" t="s">
        <v>1007</v>
      </c>
      <c r="C933" s="9" t="s">
        <v>16</v>
      </c>
      <c r="D933" s="9" t="s">
        <v>11</v>
      </c>
      <c r="E933" s="9" t="s">
        <v>20</v>
      </c>
      <c r="F933" s="9" t="s">
        <v>101</v>
      </c>
      <c r="G933" s="9">
        <v>37.109999999999999</v>
      </c>
      <c r="H933" s="9">
        <v>10</v>
      </c>
      <c r="I933" s="9">
        <v>371.10000000000002</v>
      </c>
      <c r="J933" s="9">
        <v>0.20999999999999999</v>
      </c>
      <c r="K933" s="9">
        <v>-46.229999999999997</v>
      </c>
      <c r="L933" s="9" t="s">
        <v>55</v>
      </c>
      <c r="M933" s="9" t="str">
        <f t="shared" si="0"/>
        <v>0-10%</v>
      </c>
    </row>
    <row r="934">
      <c r="A934" s="10">
        <v>45029</v>
      </c>
      <c r="B934" s="9" t="s">
        <v>1008</v>
      </c>
      <c r="C934" s="9" t="s">
        <v>15</v>
      </c>
      <c r="D934" s="9" t="s">
        <v>9</v>
      </c>
      <c r="E934" s="9" t="s">
        <v>22</v>
      </c>
      <c r="F934" s="9" t="s">
        <v>84</v>
      </c>
      <c r="G934" s="9">
        <v>340.97000000000003</v>
      </c>
      <c r="H934" s="9">
        <v>9</v>
      </c>
      <c r="I934" s="9">
        <v>3068.73</v>
      </c>
      <c r="J934" s="9">
        <v>0.19</v>
      </c>
      <c r="K934" s="9">
        <v>-278.29000000000002</v>
      </c>
      <c r="L934" s="9" t="s">
        <v>63</v>
      </c>
      <c r="M934" s="9" t="str">
        <f t="shared" si="0"/>
        <v>20%+</v>
      </c>
    </row>
    <row r="935">
      <c r="A935" s="10">
        <v>45208</v>
      </c>
      <c r="B935" s="9" t="s">
        <v>1009</v>
      </c>
      <c r="C935" s="9" t="s">
        <v>15</v>
      </c>
      <c r="D935" s="9" t="s">
        <v>8</v>
      </c>
      <c r="E935" s="9" t="s">
        <v>22</v>
      </c>
      <c r="F935" s="9" t="s">
        <v>54</v>
      </c>
      <c r="G935" s="9">
        <v>117.14</v>
      </c>
      <c r="H935" s="9">
        <v>3</v>
      </c>
      <c r="I935" s="9">
        <v>351.42000000000002</v>
      </c>
      <c r="J935" s="9">
        <v>0.059999999999999998</v>
      </c>
      <c r="K935" s="9">
        <v>39.560000000000002</v>
      </c>
      <c r="L935" s="9" t="s">
        <v>55</v>
      </c>
      <c r="M935" s="9" t="str">
        <f t="shared" si="0"/>
        <v>10-20%</v>
      </c>
    </row>
    <row r="936">
      <c r="A936" s="10">
        <v>45188</v>
      </c>
      <c r="B936" s="9" t="s">
        <v>1010</v>
      </c>
      <c r="C936" s="9" t="s">
        <v>16</v>
      </c>
      <c r="D936" s="9" t="s">
        <v>8</v>
      </c>
      <c r="E936" s="9" t="s">
        <v>20</v>
      </c>
      <c r="F936" s="9" t="s">
        <v>80</v>
      </c>
      <c r="G936" s="9">
        <v>116.45</v>
      </c>
      <c r="H936" s="9">
        <v>8</v>
      </c>
      <c r="I936" s="9">
        <v>931.60000000000002</v>
      </c>
      <c r="J936" s="9">
        <v>0.14000000000000001</v>
      </c>
      <c r="K936" s="9">
        <v>76.900000000000006</v>
      </c>
      <c r="L936" s="9" t="s">
        <v>72</v>
      </c>
      <c r="M936" s="9" t="str">
        <f t="shared" si="0"/>
        <v>0-10%</v>
      </c>
    </row>
    <row r="937">
      <c r="A937" s="10">
        <v>45174</v>
      </c>
      <c r="B937" s="9" t="s">
        <v>1011</v>
      </c>
      <c r="C937" s="9" t="s">
        <v>14</v>
      </c>
      <c r="D937" s="9" t="s">
        <v>9</v>
      </c>
      <c r="E937" s="9" t="s">
        <v>20</v>
      </c>
      <c r="F937" s="9" t="s">
        <v>80</v>
      </c>
      <c r="G937" s="9">
        <v>140.90000000000001</v>
      </c>
      <c r="H937" s="9">
        <v>15</v>
      </c>
      <c r="I937" s="9">
        <v>2113.5</v>
      </c>
      <c r="J937" s="9">
        <v>0.14999999999999999</v>
      </c>
      <c r="K937" s="9">
        <v>61.090000000000003</v>
      </c>
      <c r="L937" s="9" t="s">
        <v>63</v>
      </c>
      <c r="M937" s="9" t="str">
        <f t="shared" si="0"/>
        <v>10-20%</v>
      </c>
    </row>
    <row r="938">
      <c r="A938" s="10">
        <v>45024</v>
      </c>
      <c r="B938" s="9" t="s">
        <v>1012</v>
      </c>
      <c r="C938" s="9" t="s">
        <v>14</v>
      </c>
      <c r="D938" s="9" t="s">
        <v>12</v>
      </c>
      <c r="E938" s="9" t="s">
        <v>20</v>
      </c>
      <c r="F938" s="9" t="s">
        <v>65</v>
      </c>
      <c r="G938" s="9">
        <v>169.19999999999999</v>
      </c>
      <c r="H938" s="9">
        <v>14</v>
      </c>
      <c r="I938" s="9">
        <v>2368.8000000000002</v>
      </c>
      <c r="J938" s="9">
        <v>0.089999999999999997</v>
      </c>
      <c r="K938" s="9">
        <v>367.58999999999997</v>
      </c>
      <c r="L938" s="9" t="s">
        <v>55</v>
      </c>
      <c r="M938" s="9" t="str">
        <f t="shared" si="0"/>
        <v>10-20%</v>
      </c>
    </row>
    <row r="939">
      <c r="A939" s="10">
        <v>45164</v>
      </c>
      <c r="B939" s="9" t="s">
        <v>1013</v>
      </c>
      <c r="C939" s="9" t="s">
        <v>15</v>
      </c>
      <c r="D939" s="9" t="s">
        <v>11</v>
      </c>
      <c r="E939" s="9" t="s">
        <v>20</v>
      </c>
      <c r="F939" s="9" t="s">
        <v>101</v>
      </c>
      <c r="G939" s="9">
        <v>262.49000000000001</v>
      </c>
      <c r="H939" s="9">
        <v>3</v>
      </c>
      <c r="I939" s="9">
        <v>787.47000000000003</v>
      </c>
      <c r="J939" s="9">
        <v>0.13</v>
      </c>
      <c r="K939" s="9">
        <v>84.510000000000005</v>
      </c>
      <c r="L939" s="9" t="s">
        <v>58</v>
      </c>
      <c r="M939" s="9" t="str">
        <f t="shared" si="0"/>
        <v>0-10%</v>
      </c>
    </row>
    <row r="940">
      <c r="A940" s="10">
        <v>44939</v>
      </c>
      <c r="B940" s="9" t="s">
        <v>1014</v>
      </c>
      <c r="C940" s="9" t="s">
        <v>15</v>
      </c>
      <c r="D940" s="9" t="s">
        <v>9</v>
      </c>
      <c r="E940" s="9" t="s">
        <v>19</v>
      </c>
      <c r="F940" s="9" t="s">
        <v>62</v>
      </c>
      <c r="G940" s="9">
        <v>469.26999999999998</v>
      </c>
      <c r="H940" s="9">
        <v>12</v>
      </c>
      <c r="I940" s="9">
        <v>5631.2399999999998</v>
      </c>
      <c r="J940" s="9">
        <v>0.25</v>
      </c>
      <c r="K940" s="9">
        <v>-193.02000000000001</v>
      </c>
      <c r="L940" s="9" t="s">
        <v>63</v>
      </c>
      <c r="M940" s="9" t="str">
        <f t="shared" si="0"/>
        <v>10-20%</v>
      </c>
    </row>
    <row r="941">
      <c r="A941" s="10">
        <v>45277</v>
      </c>
      <c r="B941" s="9" t="s">
        <v>1015</v>
      </c>
      <c r="C941" s="9" t="s">
        <v>14</v>
      </c>
      <c r="D941" s="9" t="s">
        <v>12</v>
      </c>
      <c r="E941" s="9" t="s">
        <v>20</v>
      </c>
      <c r="F941" s="9" t="s">
        <v>65</v>
      </c>
      <c r="G941" s="9">
        <v>394.97000000000003</v>
      </c>
      <c r="H941" s="9">
        <v>5</v>
      </c>
      <c r="I941" s="9">
        <v>1974.8499999999999</v>
      </c>
      <c r="J941" s="9">
        <v>0.089999999999999997</v>
      </c>
      <c r="K941" s="9">
        <v>-13.25</v>
      </c>
      <c r="L941" s="9" t="s">
        <v>63</v>
      </c>
      <c r="M941" s="9" t="str">
        <f t="shared" si="0"/>
        <v>20%+</v>
      </c>
    </row>
    <row r="942">
      <c r="A942" s="10">
        <v>45082</v>
      </c>
      <c r="B942" s="9" t="s">
        <v>1016</v>
      </c>
      <c r="C942" s="9" t="s">
        <v>16</v>
      </c>
      <c r="D942" s="9" t="s">
        <v>11</v>
      </c>
      <c r="E942" s="9" t="s">
        <v>19</v>
      </c>
      <c r="F942" s="9" t="s">
        <v>62</v>
      </c>
      <c r="G942" s="9">
        <v>59.520000000000003</v>
      </c>
      <c r="H942" s="9">
        <v>3</v>
      </c>
      <c r="I942" s="9">
        <v>178.56</v>
      </c>
      <c r="J942" s="9">
        <v>0</v>
      </c>
      <c r="K942" s="9">
        <v>20.170000000000002</v>
      </c>
      <c r="L942" s="9" t="s">
        <v>63</v>
      </c>
      <c r="M942" s="9" t="str">
        <f t="shared" si="0"/>
        <v>0-10%</v>
      </c>
    </row>
    <row r="943">
      <c r="A943" s="10">
        <v>45281</v>
      </c>
      <c r="B943" s="9" t="s">
        <v>1017</v>
      </c>
      <c r="C943" s="9" t="s">
        <v>16</v>
      </c>
      <c r="D943" s="9" t="s">
        <v>12</v>
      </c>
      <c r="E943" s="9" t="s">
        <v>22</v>
      </c>
      <c r="F943" s="9" t="s">
        <v>71</v>
      </c>
      <c r="G943" s="9">
        <v>146.75999999999999</v>
      </c>
      <c r="H943" s="9">
        <v>4</v>
      </c>
      <c r="I943" s="9">
        <v>587.03999999999996</v>
      </c>
      <c r="J943" s="9">
        <v>0.14000000000000001</v>
      </c>
      <c r="K943" s="9">
        <v>11.41</v>
      </c>
      <c r="L943" s="9" t="s">
        <v>72</v>
      </c>
      <c r="M943" s="9" t="str">
        <f t="shared" si="0"/>
        <v>0-10%</v>
      </c>
    </row>
    <row r="944">
      <c r="A944" s="10">
        <v>45090</v>
      </c>
      <c r="B944" s="9" t="s">
        <v>1018</v>
      </c>
      <c r="C944" s="9" t="s">
        <v>14</v>
      </c>
      <c r="D944" s="9" t="s">
        <v>9</v>
      </c>
      <c r="E944" s="9" t="s">
        <v>20</v>
      </c>
      <c r="F944" s="9" t="s">
        <v>65</v>
      </c>
      <c r="G944" s="9">
        <v>439.42000000000002</v>
      </c>
      <c r="H944" s="9">
        <v>1</v>
      </c>
      <c r="I944" s="9">
        <v>439.42000000000002</v>
      </c>
      <c r="J944" s="9">
        <v>0.089999999999999997</v>
      </c>
      <c r="K944" s="9">
        <v>63.490000000000002</v>
      </c>
      <c r="L944" s="9" t="s">
        <v>58</v>
      </c>
      <c r="M944" s="9" t="str">
        <f t="shared" si="0"/>
        <v>10-20%</v>
      </c>
    </row>
    <row r="945">
      <c r="A945" s="10">
        <v>44984</v>
      </c>
      <c r="B945" s="9" t="s">
        <v>1019</v>
      </c>
      <c r="C945" s="9" t="s">
        <v>14</v>
      </c>
      <c r="D945" s="9" t="s">
        <v>9</v>
      </c>
      <c r="E945" s="9" t="s">
        <v>20</v>
      </c>
      <c r="F945" s="9" t="s">
        <v>65</v>
      </c>
      <c r="G945" s="9">
        <v>495.04000000000002</v>
      </c>
      <c r="H945" s="9">
        <v>8</v>
      </c>
      <c r="I945" s="9">
        <v>3960.3200000000002</v>
      </c>
      <c r="J945" s="9">
        <v>0.26000000000000001</v>
      </c>
      <c r="K945" s="9">
        <v>-600.65999999999997</v>
      </c>
      <c r="L945" s="9" t="s">
        <v>72</v>
      </c>
      <c r="M945" s="9" t="str">
        <f t="shared" si="0"/>
        <v>0-10%</v>
      </c>
    </row>
    <row r="946">
      <c r="A946" s="10">
        <v>44949</v>
      </c>
      <c r="B946" s="9" t="s">
        <v>1020</v>
      </c>
      <c r="C946" s="9" t="s">
        <v>15</v>
      </c>
      <c r="D946" s="9" t="s">
        <v>12</v>
      </c>
      <c r="E946" s="9" t="s">
        <v>19</v>
      </c>
      <c r="F946" s="9" t="s">
        <v>60</v>
      </c>
      <c r="G946" s="9">
        <v>71.060000000000002</v>
      </c>
      <c r="H946" s="9">
        <v>12</v>
      </c>
      <c r="I946" s="9">
        <v>852.72000000000003</v>
      </c>
      <c r="J946" s="9">
        <v>0.080000000000000002</v>
      </c>
      <c r="K946" s="9">
        <v>-6.1500000000000004</v>
      </c>
      <c r="L946" s="9" t="s">
        <v>58</v>
      </c>
      <c r="M946" s="9" t="str">
        <f t="shared" si="0"/>
        <v>20%+</v>
      </c>
    </row>
    <row r="947">
      <c r="A947" s="10">
        <v>45008</v>
      </c>
      <c r="B947" s="9" t="s">
        <v>1021</v>
      </c>
      <c r="C947" s="9" t="s">
        <v>15</v>
      </c>
      <c r="D947" s="9" t="s">
        <v>12</v>
      </c>
      <c r="E947" s="9" t="s">
        <v>22</v>
      </c>
      <c r="F947" s="9" t="s">
        <v>125</v>
      </c>
      <c r="G947" s="9">
        <v>31.620000000000001</v>
      </c>
      <c r="H947" s="9">
        <v>9</v>
      </c>
      <c r="I947" s="9">
        <v>284.57999999999998</v>
      </c>
      <c r="J947" s="9">
        <v>0.10000000000000001</v>
      </c>
      <c r="K947" s="9">
        <v>-13.57</v>
      </c>
      <c r="L947" s="9" t="s">
        <v>72</v>
      </c>
      <c r="M947" s="9" t="str">
        <f t="shared" si="0"/>
        <v>0-10%</v>
      </c>
    </row>
    <row r="948">
      <c r="A948" s="10">
        <v>45211</v>
      </c>
      <c r="B948" s="9" t="s">
        <v>1022</v>
      </c>
      <c r="C948" s="9" t="s">
        <v>15</v>
      </c>
      <c r="D948" s="9" t="s">
        <v>9</v>
      </c>
      <c r="E948" s="9" t="s">
        <v>20</v>
      </c>
      <c r="F948" s="9" t="s">
        <v>69</v>
      </c>
      <c r="G948" s="9">
        <v>82.450000000000003</v>
      </c>
      <c r="H948" s="9">
        <v>12</v>
      </c>
      <c r="I948" s="9">
        <v>989.39999999999998</v>
      </c>
      <c r="J948" s="9">
        <v>0.10000000000000001</v>
      </c>
      <c r="K948" s="9">
        <v>15</v>
      </c>
      <c r="L948" s="9" t="s">
        <v>58</v>
      </c>
      <c r="M948" s="9" t="str">
        <f t="shared" si="0"/>
        <v>0-10%</v>
      </c>
    </row>
    <row r="949">
      <c r="A949" s="10">
        <v>45096</v>
      </c>
      <c r="B949" s="9" t="s">
        <v>1023</v>
      </c>
      <c r="C949" s="9" t="s">
        <v>17</v>
      </c>
      <c r="D949" s="9" t="s">
        <v>12</v>
      </c>
      <c r="E949" s="9" t="s">
        <v>22</v>
      </c>
      <c r="F949" s="9" t="s">
        <v>84</v>
      </c>
      <c r="G949" s="9">
        <v>110.75</v>
      </c>
      <c r="H949" s="9">
        <v>3</v>
      </c>
      <c r="I949" s="9">
        <v>332.25</v>
      </c>
      <c r="J949" s="9">
        <v>0.059999999999999998</v>
      </c>
      <c r="K949" s="9">
        <v>-1.1100000000000001</v>
      </c>
      <c r="L949" s="9" t="s">
        <v>58</v>
      </c>
      <c r="M949" s="9" t="str">
        <f t="shared" si="0"/>
        <v>0-10%</v>
      </c>
    </row>
    <row r="950">
      <c r="A950" s="10">
        <v>45060</v>
      </c>
      <c r="B950" s="9" t="s">
        <v>1024</v>
      </c>
      <c r="C950" s="9" t="s">
        <v>17</v>
      </c>
      <c r="D950" s="9" t="s">
        <v>9</v>
      </c>
      <c r="E950" s="9" t="s">
        <v>19</v>
      </c>
      <c r="F950" s="9" t="s">
        <v>57</v>
      </c>
      <c r="G950" s="9">
        <v>158.69</v>
      </c>
      <c r="H950" s="9">
        <v>6</v>
      </c>
      <c r="I950" s="9">
        <v>952.13999999999999</v>
      </c>
      <c r="J950" s="9">
        <v>0.059999999999999998</v>
      </c>
      <c r="K950" s="9">
        <v>25.579999999999998</v>
      </c>
      <c r="L950" s="9" t="s">
        <v>55</v>
      </c>
      <c r="M950" s="9" t="str">
        <f t="shared" si="0"/>
        <v>0-10%</v>
      </c>
    </row>
    <row r="951">
      <c r="A951" s="10">
        <v>45163</v>
      </c>
      <c r="B951" s="9" t="s">
        <v>1025</v>
      </c>
      <c r="C951" s="9" t="s">
        <v>16</v>
      </c>
      <c r="D951" s="9" t="s">
        <v>12</v>
      </c>
      <c r="E951" s="9" t="s">
        <v>22</v>
      </c>
      <c r="F951" s="9" t="s">
        <v>71</v>
      </c>
      <c r="G951" s="9">
        <v>23.52</v>
      </c>
      <c r="H951" s="9">
        <v>6</v>
      </c>
      <c r="I951" s="9">
        <v>141.12</v>
      </c>
      <c r="J951" s="9">
        <v>0</v>
      </c>
      <c r="K951" s="9">
        <v>30.289999999999999</v>
      </c>
      <c r="L951" s="9" t="s">
        <v>58</v>
      </c>
      <c r="M951" s="9" t="str">
        <f t="shared" si="0"/>
        <v>0-10%</v>
      </c>
    </row>
    <row r="952">
      <c r="A952" s="10">
        <v>45013</v>
      </c>
      <c r="B952" s="9" t="s">
        <v>1026</v>
      </c>
      <c r="C952" s="9" t="s">
        <v>15</v>
      </c>
      <c r="D952" s="9" t="s">
        <v>9</v>
      </c>
      <c r="E952" s="9" t="s">
        <v>22</v>
      </c>
      <c r="F952" s="9" t="s">
        <v>84</v>
      </c>
      <c r="G952" s="9">
        <v>381.00999999999999</v>
      </c>
      <c r="H952" s="9">
        <v>6</v>
      </c>
      <c r="I952" s="9">
        <v>2286.0599999999999</v>
      </c>
      <c r="J952" s="9">
        <v>0.14999999999999999</v>
      </c>
      <c r="K952" s="9">
        <v>215.00999999999999</v>
      </c>
      <c r="L952" s="9" t="s">
        <v>72</v>
      </c>
      <c r="M952" s="9" t="str">
        <f t="shared" si="0"/>
        <v>0-10%</v>
      </c>
    </row>
    <row r="953">
      <c r="A953" s="10">
        <v>45172</v>
      </c>
      <c r="B953" s="9" t="s">
        <v>1027</v>
      </c>
      <c r="C953" s="9" t="s">
        <v>16</v>
      </c>
      <c r="D953" s="9" t="s">
        <v>11</v>
      </c>
      <c r="E953" s="9" t="s">
        <v>20</v>
      </c>
      <c r="F953" s="9" t="s">
        <v>69</v>
      </c>
      <c r="G953" s="9">
        <v>29.16</v>
      </c>
      <c r="H953" s="9">
        <v>7</v>
      </c>
      <c r="I953" s="9">
        <v>204.12</v>
      </c>
      <c r="J953" s="9">
        <v>0.14000000000000001</v>
      </c>
      <c r="K953" s="9">
        <v>22.239999999999998</v>
      </c>
      <c r="L953" s="9" t="s">
        <v>55</v>
      </c>
      <c r="M953" s="9" t="str">
        <f t="shared" si="0"/>
        <v>10-20%</v>
      </c>
    </row>
    <row r="954">
      <c r="A954" s="10">
        <v>45177</v>
      </c>
      <c r="B954" s="9" t="s">
        <v>1028</v>
      </c>
      <c r="C954" s="9" t="s">
        <v>15</v>
      </c>
      <c r="D954" s="9" t="s">
        <v>12</v>
      </c>
      <c r="E954" s="9" t="s">
        <v>19</v>
      </c>
      <c r="F954" s="9" t="s">
        <v>62</v>
      </c>
      <c r="G954" s="9">
        <v>142.43000000000001</v>
      </c>
      <c r="H954" s="9">
        <v>14</v>
      </c>
      <c r="I954" s="9">
        <v>1994.02</v>
      </c>
      <c r="J954" s="9">
        <v>0.28999999999999998</v>
      </c>
      <c r="K954" s="9">
        <v>-448.67000000000002</v>
      </c>
      <c r="L954" s="9" t="s">
        <v>63</v>
      </c>
      <c r="M954" s="9" t="str">
        <f t="shared" si="0"/>
        <v>10-20%</v>
      </c>
    </row>
    <row r="955">
      <c r="A955" s="10">
        <v>45131</v>
      </c>
      <c r="B955" s="9" t="s">
        <v>1029</v>
      </c>
      <c r="C955" s="9" t="s">
        <v>17</v>
      </c>
      <c r="D955" s="9" t="s">
        <v>10</v>
      </c>
      <c r="E955" s="9" t="s">
        <v>22</v>
      </c>
      <c r="F955" s="9" t="s">
        <v>54</v>
      </c>
      <c r="G955" s="9">
        <v>119.92</v>
      </c>
      <c r="H955" s="9">
        <v>6</v>
      </c>
      <c r="I955" s="9">
        <v>719.51999999999998</v>
      </c>
      <c r="J955" s="9">
        <v>0.10000000000000001</v>
      </c>
      <c r="K955" s="9">
        <v>0.69999999999999996</v>
      </c>
      <c r="L955" s="9" t="s">
        <v>55</v>
      </c>
      <c r="M955" s="9" t="str">
        <f t="shared" si="0"/>
        <v>20%+</v>
      </c>
    </row>
    <row r="956">
      <c r="A956" s="10">
        <v>45187</v>
      </c>
      <c r="B956" s="9" t="s">
        <v>1030</v>
      </c>
      <c r="C956" s="9" t="s">
        <v>17</v>
      </c>
      <c r="D956" s="9" t="s">
        <v>12</v>
      </c>
      <c r="E956" s="9" t="s">
        <v>22</v>
      </c>
      <c r="F956" s="9" t="s">
        <v>110</v>
      </c>
      <c r="G956" s="9">
        <v>340.18000000000001</v>
      </c>
      <c r="H956" s="9">
        <v>3</v>
      </c>
      <c r="I956" s="9">
        <v>1020.54</v>
      </c>
      <c r="J956" s="9">
        <v>0.080000000000000002</v>
      </c>
      <c r="K956" s="9">
        <v>6.1100000000000003</v>
      </c>
      <c r="L956" s="9" t="s">
        <v>72</v>
      </c>
      <c r="M956" s="9" t="str">
        <f t="shared" si="0"/>
        <v>0-10%</v>
      </c>
    </row>
    <row r="957">
      <c r="A957" s="10">
        <v>45268</v>
      </c>
      <c r="B957" s="9" t="s">
        <v>1031</v>
      </c>
      <c r="C957" s="9" t="s">
        <v>16</v>
      </c>
      <c r="D957" s="9" t="s">
        <v>9</v>
      </c>
      <c r="E957" s="9" t="s">
        <v>22</v>
      </c>
      <c r="F957" s="9" t="s">
        <v>125</v>
      </c>
      <c r="G957" s="9">
        <v>341.31999999999999</v>
      </c>
      <c r="H957" s="9">
        <v>12</v>
      </c>
      <c r="I957" s="9">
        <v>4095.8400000000001</v>
      </c>
      <c r="J957" s="9">
        <v>0.28999999999999998</v>
      </c>
      <c r="K957" s="9">
        <v>-180.24000000000001</v>
      </c>
      <c r="L957" s="9" t="s">
        <v>55</v>
      </c>
      <c r="M957" s="9" t="str">
        <f t="shared" si="0"/>
        <v>0-10%</v>
      </c>
    </row>
    <row r="958">
      <c r="A958" s="10">
        <v>45268</v>
      </c>
      <c r="B958" s="9" t="s">
        <v>1032</v>
      </c>
      <c r="C958" s="9" t="s">
        <v>15</v>
      </c>
      <c r="D958" s="9" t="s">
        <v>9</v>
      </c>
      <c r="E958" s="9" t="s">
        <v>19</v>
      </c>
      <c r="F958" s="9" t="s">
        <v>62</v>
      </c>
      <c r="G958" s="9">
        <v>375.06</v>
      </c>
      <c r="H958" s="9">
        <v>3</v>
      </c>
      <c r="I958" s="9">
        <v>1125.1800000000001</v>
      </c>
      <c r="J958" s="9">
        <v>0.23000000000000001</v>
      </c>
      <c r="K958" s="9">
        <v>-51.810000000000002</v>
      </c>
      <c r="L958" s="9" t="s">
        <v>55</v>
      </c>
      <c r="M958" s="9" t="str">
        <f t="shared" si="0"/>
        <v>20%+</v>
      </c>
    </row>
    <row r="959">
      <c r="A959" s="10">
        <v>45240</v>
      </c>
      <c r="B959" s="9" t="s">
        <v>1033</v>
      </c>
      <c r="C959" s="9" t="s">
        <v>15</v>
      </c>
      <c r="D959" s="9" t="s">
        <v>11</v>
      </c>
      <c r="E959" s="9" t="s">
        <v>20</v>
      </c>
      <c r="F959" s="9" t="s">
        <v>69</v>
      </c>
      <c r="G959" s="9">
        <v>492.05000000000001</v>
      </c>
      <c r="H959" s="9">
        <v>1</v>
      </c>
      <c r="I959" s="9">
        <v>492.05000000000001</v>
      </c>
      <c r="J959" s="9">
        <v>0.040000000000000001</v>
      </c>
      <c r="K959" s="9">
        <v>31.879999999999999</v>
      </c>
      <c r="L959" s="9" t="s">
        <v>58</v>
      </c>
      <c r="M959" s="9" t="str">
        <f t="shared" si="0"/>
        <v>20%+</v>
      </c>
    </row>
    <row r="960">
      <c r="A960" s="10">
        <v>45240</v>
      </c>
      <c r="B960" s="9" t="s">
        <v>1034</v>
      </c>
      <c r="C960" s="9" t="s">
        <v>15</v>
      </c>
      <c r="D960" s="9" t="s">
        <v>8</v>
      </c>
      <c r="E960" s="9" t="s">
        <v>21</v>
      </c>
      <c r="F960" s="9" t="s">
        <v>88</v>
      </c>
      <c r="G960" s="9">
        <v>440.54000000000002</v>
      </c>
      <c r="H960" s="9">
        <v>5</v>
      </c>
      <c r="I960" s="9">
        <v>2202.6999999999998</v>
      </c>
      <c r="J960" s="9">
        <v>0.27000000000000002</v>
      </c>
      <c r="K960" s="9">
        <v>-47.409999999999997</v>
      </c>
      <c r="L960" s="9" t="s">
        <v>63</v>
      </c>
      <c r="M960" s="9" t="str">
        <f t="shared" si="0"/>
        <v>0-10%</v>
      </c>
    </row>
    <row r="961">
      <c r="A961" s="10">
        <v>45238</v>
      </c>
      <c r="B961" s="9" t="s">
        <v>1035</v>
      </c>
      <c r="C961" s="9" t="s">
        <v>17</v>
      </c>
      <c r="D961" s="9" t="s">
        <v>9</v>
      </c>
      <c r="E961" s="9" t="s">
        <v>21</v>
      </c>
      <c r="F961" s="9" t="s">
        <v>96</v>
      </c>
      <c r="G961" s="9">
        <v>437.69999999999999</v>
      </c>
      <c r="H961" s="9">
        <v>5</v>
      </c>
      <c r="I961" s="9">
        <v>2188.5</v>
      </c>
      <c r="J961" s="9">
        <v>0.01</v>
      </c>
      <c r="K961" s="9">
        <v>223.22</v>
      </c>
      <c r="L961" s="9" t="s">
        <v>63</v>
      </c>
      <c r="M961" s="9" t="str">
        <f t="shared" si="0"/>
        <v>20%+</v>
      </c>
    </row>
    <row r="962">
      <c r="A962" s="10">
        <v>45283</v>
      </c>
      <c r="B962" s="9" t="s">
        <v>1036</v>
      </c>
      <c r="C962" s="9" t="s">
        <v>17</v>
      </c>
      <c r="D962" s="9" t="s">
        <v>9</v>
      </c>
      <c r="E962" s="9" t="s">
        <v>21</v>
      </c>
      <c r="F962" s="9" t="s">
        <v>96</v>
      </c>
      <c r="G962" s="9">
        <v>75.049999999999997</v>
      </c>
      <c r="H962" s="9">
        <v>2</v>
      </c>
      <c r="I962" s="9">
        <v>150.09999999999999</v>
      </c>
      <c r="J962" s="9">
        <v>0</v>
      </c>
      <c r="K962" s="9">
        <v>24.559999999999999</v>
      </c>
      <c r="L962" s="9" t="s">
        <v>72</v>
      </c>
      <c r="M962" s="9" t="str">
        <f t="shared" si="0"/>
        <v>0-10%</v>
      </c>
    </row>
    <row r="963">
      <c r="A963" s="10">
        <v>44942</v>
      </c>
      <c r="B963" s="9" t="s">
        <v>1037</v>
      </c>
      <c r="C963" s="9" t="s">
        <v>15</v>
      </c>
      <c r="D963" s="9" t="s">
        <v>8</v>
      </c>
      <c r="E963" s="9" t="s">
        <v>21</v>
      </c>
      <c r="F963" s="9" t="s">
        <v>76</v>
      </c>
      <c r="G963" s="9">
        <v>313.05000000000001</v>
      </c>
      <c r="H963" s="9">
        <v>6</v>
      </c>
      <c r="I963" s="9">
        <v>1878.3</v>
      </c>
      <c r="J963" s="9">
        <v>0.28000000000000003</v>
      </c>
      <c r="K963" s="9">
        <v>-319.80000000000001</v>
      </c>
      <c r="L963" s="9" t="s">
        <v>72</v>
      </c>
      <c r="M963" s="9" t="str">
        <f t="shared" si="0"/>
        <v>0-10%</v>
      </c>
    </row>
    <row r="964">
      <c r="A964" s="10">
        <v>45193</v>
      </c>
      <c r="B964" s="9" t="s">
        <v>1038</v>
      </c>
      <c r="C964" s="9" t="s">
        <v>16</v>
      </c>
      <c r="D964" s="9" t="s">
        <v>8</v>
      </c>
      <c r="E964" s="9" t="s">
        <v>19</v>
      </c>
      <c r="F964" s="9" t="s">
        <v>67</v>
      </c>
      <c r="G964" s="9">
        <v>461.54000000000002</v>
      </c>
      <c r="H964" s="9">
        <v>2</v>
      </c>
      <c r="I964" s="9">
        <v>923.08000000000004</v>
      </c>
      <c r="J964" s="9">
        <v>0.02</v>
      </c>
      <c r="K964" s="9">
        <v>31.57</v>
      </c>
      <c r="L964" s="9" t="s">
        <v>55</v>
      </c>
      <c r="M964" s="9" t="str">
        <f t="shared" si="0"/>
        <v>20%+</v>
      </c>
    </row>
    <row r="965">
      <c r="A965" s="10">
        <v>45276</v>
      </c>
      <c r="B965" s="9" t="s">
        <v>1039</v>
      </c>
      <c r="C965" s="9" t="s">
        <v>15</v>
      </c>
      <c r="D965" s="9" t="s">
        <v>11</v>
      </c>
      <c r="E965" s="9" t="s">
        <v>19</v>
      </c>
      <c r="F965" s="9" t="s">
        <v>60</v>
      </c>
      <c r="G965" s="9">
        <v>249.97</v>
      </c>
      <c r="H965" s="9">
        <v>12</v>
      </c>
      <c r="I965" s="9">
        <v>2999.6399999999999</v>
      </c>
      <c r="J965" s="9">
        <v>0.050000000000000003</v>
      </c>
      <c r="K965" s="9">
        <v>246.19999999999999</v>
      </c>
      <c r="L965" s="9" t="s">
        <v>63</v>
      </c>
      <c r="M965" s="9" t="str">
        <f t="shared" si="0"/>
        <v>0-10%</v>
      </c>
    </row>
    <row r="966">
      <c r="A966" s="10">
        <v>44987</v>
      </c>
      <c r="B966" s="9" t="s">
        <v>1040</v>
      </c>
      <c r="C966" s="9" t="s">
        <v>16</v>
      </c>
      <c r="D966" s="9" t="s">
        <v>10</v>
      </c>
      <c r="E966" s="9" t="s">
        <v>22</v>
      </c>
      <c r="F966" s="9" t="s">
        <v>110</v>
      </c>
      <c r="G966" s="9">
        <v>291.86000000000001</v>
      </c>
      <c r="H966" s="9">
        <v>12</v>
      </c>
      <c r="I966" s="9">
        <v>3502.3200000000002</v>
      </c>
      <c r="J966" s="9">
        <v>0.02</v>
      </c>
      <c r="K966" s="9">
        <v>722.40999999999997</v>
      </c>
      <c r="L966" s="9" t="s">
        <v>72</v>
      </c>
      <c r="M966" s="9" t="str">
        <f t="shared" si="0"/>
        <v>0-10%</v>
      </c>
    </row>
    <row r="967">
      <c r="A967" s="10">
        <v>45020</v>
      </c>
      <c r="B967" s="9" t="s">
        <v>1041</v>
      </c>
      <c r="C967" s="9" t="s">
        <v>14</v>
      </c>
      <c r="D967" s="9" t="s">
        <v>11</v>
      </c>
      <c r="E967" s="9" t="s">
        <v>19</v>
      </c>
      <c r="F967" s="9" t="s">
        <v>62</v>
      </c>
      <c r="G967" s="9">
        <v>301.18000000000001</v>
      </c>
      <c r="H967" s="9">
        <v>11</v>
      </c>
      <c r="I967" s="9">
        <v>3312.98</v>
      </c>
      <c r="J967" s="9">
        <v>0.27000000000000002</v>
      </c>
      <c r="K967" s="9">
        <v>-722.30999999999995</v>
      </c>
      <c r="L967" s="9" t="s">
        <v>63</v>
      </c>
      <c r="M967" s="9" t="str">
        <f t="shared" si="0"/>
        <v>0-10%</v>
      </c>
    </row>
    <row r="968">
      <c r="A968" s="10">
        <v>45116</v>
      </c>
      <c r="B968" s="9" t="s">
        <v>1042</v>
      </c>
      <c r="C968" s="9" t="s">
        <v>16</v>
      </c>
      <c r="D968" s="9" t="s">
        <v>11</v>
      </c>
      <c r="E968" s="9" t="s">
        <v>21</v>
      </c>
      <c r="F968" s="9" t="s">
        <v>76</v>
      </c>
      <c r="G968" s="9">
        <v>177.59999999999999</v>
      </c>
      <c r="H968" s="9">
        <v>2</v>
      </c>
      <c r="I968" s="9">
        <v>355.19999999999999</v>
      </c>
      <c r="J968" s="9">
        <v>0.19</v>
      </c>
      <c r="K968" s="9">
        <v>19.09</v>
      </c>
      <c r="L968" s="9" t="s">
        <v>55</v>
      </c>
      <c r="M968" s="9" t="str">
        <f t="shared" si="0"/>
        <v>20%+</v>
      </c>
    </row>
    <row r="969">
      <c r="A969" s="10">
        <v>45234</v>
      </c>
      <c r="B969" s="9" t="s">
        <v>1043</v>
      </c>
      <c r="C969" s="9" t="s">
        <v>17</v>
      </c>
      <c r="D969" s="9" t="s">
        <v>12</v>
      </c>
      <c r="E969" s="9" t="s">
        <v>19</v>
      </c>
      <c r="F969" s="9" t="s">
        <v>62</v>
      </c>
      <c r="G969" s="9">
        <v>160.90000000000001</v>
      </c>
      <c r="H969" s="9">
        <v>2</v>
      </c>
      <c r="I969" s="9">
        <v>321.80000000000001</v>
      </c>
      <c r="J969" s="9">
        <v>0.28000000000000003</v>
      </c>
      <c r="K969" s="9">
        <v>-38.600000000000001</v>
      </c>
      <c r="L969" s="9" t="s">
        <v>63</v>
      </c>
      <c r="M969" s="9" t="str">
        <f t="shared" si="0"/>
        <v>10-20%</v>
      </c>
    </row>
    <row r="970">
      <c r="A970" s="10">
        <v>44980</v>
      </c>
      <c r="B970" s="9" t="s">
        <v>1044</v>
      </c>
      <c r="C970" s="9" t="s">
        <v>15</v>
      </c>
      <c r="D970" s="9" t="s">
        <v>11</v>
      </c>
      <c r="E970" s="9" t="s">
        <v>21</v>
      </c>
      <c r="F970" s="9" t="s">
        <v>82</v>
      </c>
      <c r="G970" s="9">
        <v>105.37</v>
      </c>
      <c r="H970" s="9">
        <v>3</v>
      </c>
      <c r="I970" s="9">
        <v>316.11000000000001</v>
      </c>
      <c r="J970" s="9">
        <v>0.16</v>
      </c>
      <c r="K970" s="9">
        <v>-21.190000000000001</v>
      </c>
      <c r="L970" s="9" t="s">
        <v>63</v>
      </c>
      <c r="M970" s="9" t="str">
        <f t="shared" si="0"/>
        <v>20%+</v>
      </c>
    </row>
    <row r="971">
      <c r="A971" s="10">
        <v>45233</v>
      </c>
      <c r="B971" s="9" t="s">
        <v>1045</v>
      </c>
      <c r="C971" s="9" t="s">
        <v>17</v>
      </c>
      <c r="D971" s="9" t="s">
        <v>12</v>
      </c>
      <c r="E971" s="9" t="s">
        <v>21</v>
      </c>
      <c r="F971" s="9" t="s">
        <v>88</v>
      </c>
      <c r="G971" s="9">
        <v>226.08000000000001</v>
      </c>
      <c r="H971" s="9">
        <v>10</v>
      </c>
      <c r="I971" s="9">
        <v>2260.8000000000002</v>
      </c>
      <c r="J971" s="9">
        <v>0.11</v>
      </c>
      <c r="K971" s="9">
        <v>177.47</v>
      </c>
      <c r="L971" s="9" t="s">
        <v>63</v>
      </c>
      <c r="M971" s="9" t="str">
        <f t="shared" si="0"/>
        <v>10-20%</v>
      </c>
    </row>
    <row r="972">
      <c r="A972" s="10">
        <v>45137</v>
      </c>
      <c r="B972" s="9" t="s">
        <v>1046</v>
      </c>
      <c r="C972" s="9" t="s">
        <v>16</v>
      </c>
      <c r="D972" s="9" t="s">
        <v>12</v>
      </c>
      <c r="E972" s="9" t="s">
        <v>19</v>
      </c>
      <c r="F972" s="9" t="s">
        <v>60</v>
      </c>
      <c r="G972" s="9">
        <v>430.24000000000001</v>
      </c>
      <c r="H972" s="9">
        <v>9</v>
      </c>
      <c r="I972" s="9">
        <v>3872.1599999999999</v>
      </c>
      <c r="J972" s="9">
        <v>0.27000000000000002</v>
      </c>
      <c r="K972" s="9">
        <v>-278.13999999999999</v>
      </c>
      <c r="L972" s="9" t="s">
        <v>58</v>
      </c>
      <c r="M972" s="9" t="str">
        <f t="shared" si="0"/>
        <v>10-20%</v>
      </c>
    </row>
    <row r="973">
      <c r="A973" s="10">
        <v>45279</v>
      </c>
      <c r="B973" s="9" t="s">
        <v>1047</v>
      </c>
      <c r="C973" s="9" t="s">
        <v>15</v>
      </c>
      <c r="D973" s="9" t="s">
        <v>12</v>
      </c>
      <c r="E973" s="9" t="s">
        <v>20</v>
      </c>
      <c r="F973" s="9" t="s">
        <v>74</v>
      </c>
      <c r="G973" s="9">
        <v>202.40000000000001</v>
      </c>
      <c r="H973" s="9">
        <v>6</v>
      </c>
      <c r="I973" s="9">
        <v>1214.4000000000001</v>
      </c>
      <c r="J973" s="9">
        <v>0.16</v>
      </c>
      <c r="K973" s="9">
        <v>17.210000000000001</v>
      </c>
      <c r="L973" s="9" t="s">
        <v>55</v>
      </c>
      <c r="M973" s="9" t="str">
        <f t="shared" si="0"/>
        <v>20%+</v>
      </c>
    </row>
    <row r="974">
      <c r="A974" s="10">
        <v>44970</v>
      </c>
      <c r="B974" s="9" t="s">
        <v>1048</v>
      </c>
      <c r="C974" s="9" t="s">
        <v>14</v>
      </c>
      <c r="D974" s="9" t="s">
        <v>12</v>
      </c>
      <c r="E974" s="9" t="s">
        <v>21</v>
      </c>
      <c r="F974" s="9" t="s">
        <v>76</v>
      </c>
      <c r="G974" s="9">
        <v>112.97</v>
      </c>
      <c r="H974" s="9">
        <v>6</v>
      </c>
      <c r="I974" s="9">
        <v>677.82000000000005</v>
      </c>
      <c r="J974" s="9">
        <v>0.27000000000000002</v>
      </c>
      <c r="K974" s="9">
        <v>-99.180000000000007</v>
      </c>
      <c r="L974" s="9" t="s">
        <v>72</v>
      </c>
      <c r="M974" s="9" t="str">
        <f t="shared" si="0"/>
        <v>10-20%</v>
      </c>
    </row>
    <row r="975">
      <c r="A975" s="10">
        <v>45089</v>
      </c>
      <c r="B975" s="9" t="s">
        <v>1049</v>
      </c>
      <c r="C975" s="9" t="s">
        <v>16</v>
      </c>
      <c r="D975" s="9" t="s">
        <v>9</v>
      </c>
      <c r="E975" s="9" t="s">
        <v>22</v>
      </c>
      <c r="F975" s="9" t="s">
        <v>54</v>
      </c>
      <c r="G975" s="9">
        <v>464.38</v>
      </c>
      <c r="H975" s="9">
        <v>14</v>
      </c>
      <c r="I975" s="9">
        <v>6501.3199999999997</v>
      </c>
      <c r="J975" s="9">
        <v>0.17000000000000001</v>
      </c>
      <c r="K975" s="9">
        <v>-200.72</v>
      </c>
      <c r="L975" s="9" t="s">
        <v>72</v>
      </c>
      <c r="M975" s="9" t="str">
        <f t="shared" si="0"/>
        <v>20%+</v>
      </c>
    </row>
    <row r="976">
      <c r="A976" s="10">
        <v>45239</v>
      </c>
      <c r="B976" s="9" t="s">
        <v>1050</v>
      </c>
      <c r="C976" s="9" t="s">
        <v>14</v>
      </c>
      <c r="D976" s="9" t="s">
        <v>10</v>
      </c>
      <c r="E976" s="9" t="s">
        <v>21</v>
      </c>
      <c r="F976" s="9" t="s">
        <v>82</v>
      </c>
      <c r="G976" s="9">
        <v>429.06</v>
      </c>
      <c r="H976" s="9">
        <v>2</v>
      </c>
      <c r="I976" s="9">
        <v>858.12</v>
      </c>
      <c r="J976" s="9">
        <v>0.28999999999999998</v>
      </c>
      <c r="K976" s="9">
        <v>-104.91</v>
      </c>
      <c r="L976" s="9" t="s">
        <v>58</v>
      </c>
      <c r="M976" s="9" t="str">
        <f t="shared" si="0"/>
        <v>10-20%</v>
      </c>
    </row>
    <row r="977">
      <c r="A977" s="10">
        <v>45108</v>
      </c>
      <c r="B977" s="9" t="s">
        <v>1051</v>
      </c>
      <c r="C977" s="9" t="s">
        <v>15</v>
      </c>
      <c r="D977" s="9" t="s">
        <v>8</v>
      </c>
      <c r="E977" s="9" t="s">
        <v>22</v>
      </c>
      <c r="F977" s="9" t="s">
        <v>110</v>
      </c>
      <c r="G977" s="9">
        <v>279.06</v>
      </c>
      <c r="H977" s="9">
        <v>5</v>
      </c>
      <c r="I977" s="9">
        <v>1395.3</v>
      </c>
      <c r="J977" s="9">
        <v>0.22</v>
      </c>
      <c r="K977" s="9">
        <v>28.030000000000001</v>
      </c>
      <c r="L977" s="9" t="s">
        <v>63</v>
      </c>
      <c r="M977" s="9" t="str">
        <f t="shared" si="0"/>
        <v>20%+</v>
      </c>
    </row>
    <row r="978">
      <c r="A978" s="10">
        <v>45223</v>
      </c>
      <c r="B978" s="9" t="s">
        <v>1052</v>
      </c>
      <c r="C978" s="9" t="s">
        <v>15</v>
      </c>
      <c r="D978" s="9" t="s">
        <v>9</v>
      </c>
      <c r="E978" s="9" t="s">
        <v>21</v>
      </c>
      <c r="F978" s="9" t="s">
        <v>76</v>
      </c>
      <c r="G978" s="9">
        <v>209.59999999999999</v>
      </c>
      <c r="H978" s="9">
        <v>2</v>
      </c>
      <c r="I978" s="9">
        <v>419.19999999999999</v>
      </c>
      <c r="J978" s="9">
        <v>0.13</v>
      </c>
      <c r="K978" s="9">
        <v>24.620000000000001</v>
      </c>
      <c r="L978" s="9" t="s">
        <v>72</v>
      </c>
      <c r="M978" s="9" t="str">
        <f t="shared" si="0"/>
        <v>20%+</v>
      </c>
    </row>
    <row r="979">
      <c r="A979" s="10">
        <v>45209</v>
      </c>
      <c r="B979" s="9" t="s">
        <v>1053</v>
      </c>
      <c r="C979" s="9" t="s">
        <v>14</v>
      </c>
      <c r="D979" s="9" t="s">
        <v>10</v>
      </c>
      <c r="E979" s="9" t="s">
        <v>19</v>
      </c>
      <c r="F979" s="9" t="s">
        <v>62</v>
      </c>
      <c r="G979" s="9">
        <v>355.14999999999998</v>
      </c>
      <c r="H979" s="9">
        <v>11</v>
      </c>
      <c r="I979" s="9">
        <v>3906.6500000000001</v>
      </c>
      <c r="J979" s="9">
        <v>0.080000000000000002</v>
      </c>
      <c r="K979" s="9">
        <v>-58.380000000000003</v>
      </c>
      <c r="L979" s="9" t="s">
        <v>58</v>
      </c>
      <c r="M979" s="9" t="str">
        <f t="shared" si="0"/>
        <v>10-20%</v>
      </c>
    </row>
    <row r="980">
      <c r="A980" s="10">
        <v>45278</v>
      </c>
      <c r="B980" s="9" t="s">
        <v>1054</v>
      </c>
      <c r="C980" s="9" t="s">
        <v>14</v>
      </c>
      <c r="D980" s="9" t="s">
        <v>8</v>
      </c>
      <c r="E980" s="9" t="s">
        <v>20</v>
      </c>
      <c r="F980" s="9" t="s">
        <v>80</v>
      </c>
      <c r="G980" s="9">
        <v>94.849999999999994</v>
      </c>
      <c r="H980" s="9">
        <v>5</v>
      </c>
      <c r="I980" s="9">
        <v>474.25</v>
      </c>
      <c r="J980" s="9">
        <v>0.02</v>
      </c>
      <c r="K980" s="9">
        <v>101.59</v>
      </c>
      <c r="L980" s="9" t="s">
        <v>63</v>
      </c>
      <c r="M980" s="9" t="str">
        <f t="shared" si="0"/>
        <v>0-10%</v>
      </c>
    </row>
    <row r="981">
      <c r="A981" s="10">
        <v>45028</v>
      </c>
      <c r="B981" s="9" t="s">
        <v>1055</v>
      </c>
      <c r="C981" s="9" t="s">
        <v>14</v>
      </c>
      <c r="D981" s="9" t="s">
        <v>12</v>
      </c>
      <c r="E981" s="9" t="s">
        <v>21</v>
      </c>
      <c r="F981" s="9" t="s">
        <v>96</v>
      </c>
      <c r="G981" s="9">
        <v>434.48000000000002</v>
      </c>
      <c r="H981" s="9">
        <v>13</v>
      </c>
      <c r="I981" s="9">
        <v>5648.2399999999998</v>
      </c>
      <c r="J981" s="9">
        <v>0.17000000000000001</v>
      </c>
      <c r="K981" s="9">
        <v>-127.34999999999999</v>
      </c>
      <c r="L981" s="9" t="s">
        <v>63</v>
      </c>
      <c r="M981" s="9" t="str">
        <f t="shared" si="0"/>
        <v>0-10%</v>
      </c>
    </row>
    <row r="982">
      <c r="A982" s="10">
        <v>45254</v>
      </c>
      <c r="B982" s="9" t="s">
        <v>1056</v>
      </c>
      <c r="C982" s="9" t="s">
        <v>14</v>
      </c>
      <c r="D982" s="9" t="s">
        <v>11</v>
      </c>
      <c r="E982" s="9" t="s">
        <v>19</v>
      </c>
      <c r="F982" s="9" t="s">
        <v>60</v>
      </c>
      <c r="G982" s="9">
        <v>404.50999999999999</v>
      </c>
      <c r="H982" s="9">
        <v>8</v>
      </c>
      <c r="I982" s="9">
        <v>3236.0799999999999</v>
      </c>
      <c r="J982" s="9">
        <v>0.26000000000000001</v>
      </c>
      <c r="K982" s="9">
        <v>-536.02999999999997</v>
      </c>
      <c r="L982" s="9" t="s">
        <v>55</v>
      </c>
      <c r="M982" s="9" t="str">
        <f t="shared" si="0"/>
        <v>10-20%</v>
      </c>
    </row>
    <row r="983">
      <c r="A983" s="10">
        <v>45170</v>
      </c>
      <c r="B983" s="9" t="s">
        <v>1057</v>
      </c>
      <c r="C983" s="9" t="s">
        <v>14</v>
      </c>
      <c r="D983" s="9" t="s">
        <v>12</v>
      </c>
      <c r="E983" s="9" t="s">
        <v>19</v>
      </c>
      <c r="F983" s="9" t="s">
        <v>98</v>
      </c>
      <c r="G983" s="9">
        <v>39.530000000000001</v>
      </c>
      <c r="H983" s="9">
        <v>5</v>
      </c>
      <c r="I983" s="9">
        <v>197.65000000000001</v>
      </c>
      <c r="J983" s="9">
        <v>0</v>
      </c>
      <c r="K983" s="9">
        <v>39.869999999999997</v>
      </c>
      <c r="L983" s="9" t="s">
        <v>63</v>
      </c>
      <c r="M983" s="9" t="str">
        <f t="shared" si="0"/>
        <v>20%+</v>
      </c>
    </row>
    <row r="984">
      <c r="A984" s="10">
        <v>45112</v>
      </c>
      <c r="B984" s="9" t="s">
        <v>1058</v>
      </c>
      <c r="C984" s="9" t="s">
        <v>16</v>
      </c>
      <c r="D984" s="9" t="s">
        <v>11</v>
      </c>
      <c r="E984" s="9" t="s">
        <v>21</v>
      </c>
      <c r="F984" s="9" t="s">
        <v>76</v>
      </c>
      <c r="G984" s="9">
        <v>139.47999999999999</v>
      </c>
      <c r="H984" s="9">
        <v>11</v>
      </c>
      <c r="I984" s="9">
        <v>1534.28</v>
      </c>
      <c r="J984" s="9">
        <v>0.19</v>
      </c>
      <c r="K984" s="9">
        <v>-112.69</v>
      </c>
      <c r="L984" s="9" t="s">
        <v>63</v>
      </c>
      <c r="M984" s="9" t="str">
        <f t="shared" si="0"/>
        <v>0-10%</v>
      </c>
    </row>
    <row r="985">
      <c r="A985" s="10">
        <v>45155</v>
      </c>
      <c r="B985" s="9" t="s">
        <v>1059</v>
      </c>
      <c r="C985" s="9" t="s">
        <v>14</v>
      </c>
      <c r="D985" s="9" t="s">
        <v>10</v>
      </c>
      <c r="E985" s="9" t="s">
        <v>19</v>
      </c>
      <c r="F985" s="9" t="s">
        <v>60</v>
      </c>
      <c r="G985" s="9">
        <v>390.82999999999998</v>
      </c>
      <c r="H985" s="9">
        <v>7</v>
      </c>
      <c r="I985" s="9">
        <v>2735.8099999999999</v>
      </c>
      <c r="J985" s="9">
        <v>0.20999999999999999</v>
      </c>
      <c r="K985" s="9">
        <v>-89.540000000000006</v>
      </c>
      <c r="L985" s="9" t="s">
        <v>72</v>
      </c>
      <c r="M985" s="9" t="str">
        <f t="shared" si="0"/>
        <v>10-20%</v>
      </c>
    </row>
    <row r="986">
      <c r="A986" s="10">
        <v>45168</v>
      </c>
      <c r="B986" s="9" t="s">
        <v>1060</v>
      </c>
      <c r="C986" s="9" t="s">
        <v>14</v>
      </c>
      <c r="D986" s="9" t="s">
        <v>8</v>
      </c>
      <c r="E986" s="9" t="s">
        <v>19</v>
      </c>
      <c r="F986" s="9" t="s">
        <v>60</v>
      </c>
      <c r="G986" s="9">
        <v>187.15000000000001</v>
      </c>
      <c r="H986" s="9">
        <v>5</v>
      </c>
      <c r="I986" s="9">
        <v>935.75</v>
      </c>
      <c r="J986" s="9">
        <v>0.02</v>
      </c>
      <c r="K986" s="9">
        <v>49.020000000000003</v>
      </c>
      <c r="L986" s="9" t="s">
        <v>58</v>
      </c>
      <c r="M986" s="9" t="str">
        <f t="shared" si="0"/>
        <v>20%+</v>
      </c>
    </row>
    <row r="987">
      <c r="A987" s="10">
        <v>44964</v>
      </c>
      <c r="B987" s="9" t="s">
        <v>1061</v>
      </c>
      <c r="C987" s="9" t="s">
        <v>14</v>
      </c>
      <c r="D987" s="9" t="s">
        <v>12</v>
      </c>
      <c r="E987" s="9" t="s">
        <v>20</v>
      </c>
      <c r="F987" s="9" t="s">
        <v>101</v>
      </c>
      <c r="G987" s="9">
        <v>409.05000000000001</v>
      </c>
      <c r="H987" s="9">
        <v>11</v>
      </c>
      <c r="I987" s="9">
        <v>4499.5500000000002</v>
      </c>
      <c r="J987" s="9">
        <v>0.22</v>
      </c>
      <c r="K987" s="9">
        <v>-107.75</v>
      </c>
      <c r="L987" s="9" t="s">
        <v>63</v>
      </c>
      <c r="M987" s="9" t="str">
        <f t="shared" si="0"/>
        <v>0-10%</v>
      </c>
    </row>
    <row r="988">
      <c r="A988" s="10">
        <v>45211</v>
      </c>
      <c r="B988" s="9" t="s">
        <v>1062</v>
      </c>
      <c r="C988" s="9" t="s">
        <v>16</v>
      </c>
      <c r="D988" s="9" t="s">
        <v>9</v>
      </c>
      <c r="E988" s="9" t="s">
        <v>19</v>
      </c>
      <c r="F988" s="9" t="s">
        <v>62</v>
      </c>
      <c r="G988" s="9">
        <v>425.38</v>
      </c>
      <c r="H988" s="9">
        <v>4</v>
      </c>
      <c r="I988" s="9">
        <v>1701.52</v>
      </c>
      <c r="J988" s="9">
        <v>0.25</v>
      </c>
      <c r="K988" s="9">
        <v>-225.15000000000001</v>
      </c>
      <c r="L988" s="9" t="s">
        <v>55</v>
      </c>
      <c r="M988" s="9" t="str">
        <f t="shared" si="0"/>
        <v>20%+</v>
      </c>
    </row>
    <row r="989">
      <c r="A989" s="10">
        <v>45115</v>
      </c>
      <c r="B989" s="9" t="s">
        <v>1063</v>
      </c>
      <c r="C989" s="9" t="s">
        <v>16</v>
      </c>
      <c r="D989" s="9" t="s">
        <v>11</v>
      </c>
      <c r="E989" s="9" t="s">
        <v>22</v>
      </c>
      <c r="F989" s="9" t="s">
        <v>110</v>
      </c>
      <c r="G989" s="9">
        <v>392.48000000000002</v>
      </c>
      <c r="H989" s="9">
        <v>5</v>
      </c>
      <c r="I989" s="9">
        <v>1962.4000000000001</v>
      </c>
      <c r="J989" s="9">
        <v>0.02</v>
      </c>
      <c r="K989" s="9">
        <v>268.67000000000002</v>
      </c>
      <c r="L989" s="9" t="s">
        <v>63</v>
      </c>
      <c r="M989" s="9" t="str">
        <f t="shared" si="0"/>
        <v>20%+</v>
      </c>
    </row>
    <row r="990">
      <c r="A990" s="10">
        <v>45038</v>
      </c>
      <c r="B990" s="9" t="s">
        <v>1064</v>
      </c>
      <c r="C990" s="9" t="s">
        <v>17</v>
      </c>
      <c r="D990" s="9" t="s">
        <v>8</v>
      </c>
      <c r="E990" s="9" t="s">
        <v>19</v>
      </c>
      <c r="F990" s="9" t="s">
        <v>62</v>
      </c>
      <c r="G990" s="9">
        <v>103.27</v>
      </c>
      <c r="H990" s="9">
        <v>3</v>
      </c>
      <c r="I990" s="9">
        <v>309.81</v>
      </c>
      <c r="J990" s="9">
        <v>0.28000000000000003</v>
      </c>
      <c r="K990" s="9">
        <v>-25.760000000000002</v>
      </c>
      <c r="L990" s="9" t="s">
        <v>63</v>
      </c>
      <c r="M990" s="9" t="str">
        <f t="shared" si="0"/>
        <v>0-10%</v>
      </c>
    </row>
    <row r="991">
      <c r="A991" s="10">
        <v>44968</v>
      </c>
      <c r="B991" s="9" t="s">
        <v>1065</v>
      </c>
      <c r="C991" s="9" t="s">
        <v>14</v>
      </c>
      <c r="D991" s="9" t="s">
        <v>11</v>
      </c>
      <c r="E991" s="9" t="s">
        <v>21</v>
      </c>
      <c r="F991" s="9" t="s">
        <v>82</v>
      </c>
      <c r="G991" s="9">
        <v>456.05000000000001</v>
      </c>
      <c r="H991" s="9">
        <v>11</v>
      </c>
      <c r="I991" s="9">
        <v>5016.5500000000002</v>
      </c>
      <c r="J991" s="9">
        <v>0.11</v>
      </c>
      <c r="K991" s="9">
        <v>-100.76000000000001</v>
      </c>
      <c r="L991" s="9" t="s">
        <v>63</v>
      </c>
      <c r="M991" s="9" t="str">
        <f t="shared" si="0"/>
        <v>20%+</v>
      </c>
    </row>
    <row r="992">
      <c r="A992" s="10">
        <v>45167</v>
      </c>
      <c r="B992" s="9" t="s">
        <v>1066</v>
      </c>
      <c r="C992" s="9" t="s">
        <v>17</v>
      </c>
      <c r="D992" s="9" t="s">
        <v>12</v>
      </c>
      <c r="E992" s="9" t="s">
        <v>20</v>
      </c>
      <c r="F992" s="9" t="s">
        <v>74</v>
      </c>
      <c r="G992" s="9">
        <v>349.55000000000001</v>
      </c>
      <c r="H992" s="9">
        <v>13</v>
      </c>
      <c r="I992" s="9">
        <v>4544.1499999999996</v>
      </c>
      <c r="J992" s="9">
        <v>0.20999999999999999</v>
      </c>
      <c r="K992" s="9">
        <v>-717.48000000000002</v>
      </c>
      <c r="L992" s="9" t="s">
        <v>55</v>
      </c>
      <c r="M992" s="9" t="str">
        <f t="shared" si="0"/>
        <v>10-20%</v>
      </c>
    </row>
    <row r="993">
      <c r="A993" s="10">
        <v>45217</v>
      </c>
      <c r="B993" s="9" t="s">
        <v>1067</v>
      </c>
      <c r="C993" s="9" t="s">
        <v>16</v>
      </c>
      <c r="D993" s="9" t="s">
        <v>12</v>
      </c>
      <c r="E993" s="9" t="s">
        <v>21</v>
      </c>
      <c r="F993" s="9" t="s">
        <v>82</v>
      </c>
      <c r="G993" s="9">
        <v>17.59</v>
      </c>
      <c r="H993" s="9">
        <v>15</v>
      </c>
      <c r="I993" s="9">
        <v>263.85000000000002</v>
      </c>
      <c r="J993" s="9">
        <v>0.080000000000000002</v>
      </c>
      <c r="K993" s="9">
        <v>33.479999999999997</v>
      </c>
      <c r="L993" s="9" t="s">
        <v>58</v>
      </c>
      <c r="M993" s="9" t="str">
        <f t="shared" si="0"/>
        <v>20%+</v>
      </c>
    </row>
    <row r="994">
      <c r="A994" s="10">
        <v>44974</v>
      </c>
      <c r="B994" s="9" t="s">
        <v>1068</v>
      </c>
      <c r="C994" s="9" t="s">
        <v>15</v>
      </c>
      <c r="D994" s="9" t="s">
        <v>12</v>
      </c>
      <c r="E994" s="9" t="s">
        <v>21</v>
      </c>
      <c r="F994" s="9" t="s">
        <v>76</v>
      </c>
      <c r="G994" s="9">
        <v>103.66</v>
      </c>
      <c r="H994" s="9">
        <v>2</v>
      </c>
      <c r="I994" s="9">
        <v>207.31999999999999</v>
      </c>
      <c r="J994" s="9">
        <v>0.28000000000000003</v>
      </c>
      <c r="K994" s="9">
        <v>-44.719999999999999</v>
      </c>
      <c r="L994" s="9" t="s">
        <v>58</v>
      </c>
      <c r="M994" s="9" t="str">
        <f t="shared" si="0"/>
        <v>0-10%</v>
      </c>
    </row>
    <row r="995">
      <c r="A995" s="10">
        <v>45268</v>
      </c>
      <c r="B995" s="9" t="s">
        <v>1069</v>
      </c>
      <c r="C995" s="9" t="s">
        <v>16</v>
      </c>
      <c r="D995" s="9" t="s">
        <v>11</v>
      </c>
      <c r="E995" s="9" t="s">
        <v>21</v>
      </c>
      <c r="F995" s="9" t="s">
        <v>88</v>
      </c>
      <c r="G995" s="9">
        <v>79.209999999999994</v>
      </c>
      <c r="H995" s="9">
        <v>11</v>
      </c>
      <c r="I995" s="9">
        <v>871.30999999999995</v>
      </c>
      <c r="J995" s="9">
        <v>0.02</v>
      </c>
      <c r="K995" s="9">
        <v>54.600000000000001</v>
      </c>
      <c r="L995" s="9" t="s">
        <v>72</v>
      </c>
      <c r="M995" s="9" t="str">
        <f t="shared" si="0"/>
        <v>20%+</v>
      </c>
    </row>
    <row r="996">
      <c r="A996" s="10">
        <v>45288</v>
      </c>
      <c r="B996" s="9" t="s">
        <v>1070</v>
      </c>
      <c r="C996" s="9" t="s">
        <v>16</v>
      </c>
      <c r="D996" s="9" t="s">
        <v>9</v>
      </c>
      <c r="E996" s="9" t="s">
        <v>22</v>
      </c>
      <c r="F996" s="9" t="s">
        <v>110</v>
      </c>
      <c r="G996" s="9">
        <v>265.24000000000001</v>
      </c>
      <c r="H996" s="9">
        <v>10</v>
      </c>
      <c r="I996" s="9">
        <v>2652.4000000000001</v>
      </c>
      <c r="J996" s="9">
        <v>0.14999999999999999</v>
      </c>
      <c r="K996" s="9">
        <v>33.850000000000001</v>
      </c>
      <c r="L996" s="9" t="s">
        <v>55</v>
      </c>
      <c r="M996" s="9" t="str">
        <f t="shared" si="0"/>
        <v>0-10%</v>
      </c>
    </row>
    <row r="997">
      <c r="A997" s="10">
        <v>45032</v>
      </c>
      <c r="B997" s="9" t="s">
        <v>1071</v>
      </c>
      <c r="C997" s="9" t="s">
        <v>17</v>
      </c>
      <c r="D997" s="9" t="s">
        <v>9</v>
      </c>
      <c r="E997" s="9" t="s">
        <v>22</v>
      </c>
      <c r="F997" s="9" t="s">
        <v>125</v>
      </c>
      <c r="G997" s="9">
        <v>409.58999999999997</v>
      </c>
      <c r="H997" s="9">
        <v>14</v>
      </c>
      <c r="I997" s="9">
        <v>5734.2600000000002</v>
      </c>
      <c r="J997" s="9">
        <v>0.28999999999999998</v>
      </c>
      <c r="K997" s="9">
        <v>-526.35000000000002</v>
      </c>
      <c r="L997" s="9" t="s">
        <v>58</v>
      </c>
      <c r="M997" s="9" t="str">
        <f t="shared" si="0"/>
        <v>10-20%</v>
      </c>
    </row>
    <row r="998">
      <c r="A998" s="10">
        <v>44940</v>
      </c>
      <c r="B998" s="9" t="s">
        <v>1072</v>
      </c>
      <c r="C998" s="9" t="s">
        <v>16</v>
      </c>
      <c r="D998" s="9" t="s">
        <v>12</v>
      </c>
      <c r="E998" s="9" t="s">
        <v>22</v>
      </c>
      <c r="F998" s="9" t="s">
        <v>54</v>
      </c>
      <c r="G998" s="9">
        <v>416.41000000000003</v>
      </c>
      <c r="H998" s="9">
        <v>6</v>
      </c>
      <c r="I998" s="9">
        <v>2498.46</v>
      </c>
      <c r="J998" s="9">
        <v>0.27000000000000002</v>
      </c>
      <c r="K998" s="9">
        <v>-196.71000000000001</v>
      </c>
      <c r="L998" s="9" t="s">
        <v>72</v>
      </c>
      <c r="M998" s="9" t="str">
        <f t="shared" si="0"/>
        <v>20%+</v>
      </c>
    </row>
    <row r="999">
      <c r="A999" s="10">
        <v>45194</v>
      </c>
      <c r="B999" s="9" t="s">
        <v>1073</v>
      </c>
      <c r="C999" s="9" t="s">
        <v>16</v>
      </c>
      <c r="D999" s="9" t="s">
        <v>11</v>
      </c>
      <c r="E999" s="9" t="s">
        <v>22</v>
      </c>
      <c r="F999" s="9" t="s">
        <v>84</v>
      </c>
      <c r="G999" s="9">
        <v>140.81999999999999</v>
      </c>
      <c r="H999" s="9">
        <v>14</v>
      </c>
      <c r="I999" s="9">
        <v>1971.48</v>
      </c>
      <c r="J999" s="9">
        <v>0.26000000000000001</v>
      </c>
      <c r="K999" s="9">
        <v>-62.549999999999997</v>
      </c>
      <c r="L999" s="9" t="s">
        <v>72</v>
      </c>
      <c r="M999" s="9" t="str">
        <f t="shared" si="0"/>
        <v>20%+</v>
      </c>
    </row>
    <row r="1000">
      <c r="A1000" s="10">
        <v>44987</v>
      </c>
      <c r="B1000" s="9" t="s">
        <v>1074</v>
      </c>
      <c r="C1000" s="9" t="s">
        <v>16</v>
      </c>
      <c r="D1000" s="9" t="s">
        <v>12</v>
      </c>
      <c r="E1000" s="9" t="s">
        <v>21</v>
      </c>
      <c r="F1000" s="9" t="s">
        <v>96</v>
      </c>
      <c r="G1000" s="9">
        <v>158.06999999999999</v>
      </c>
      <c r="H1000" s="9">
        <v>4</v>
      </c>
      <c r="I1000" s="9">
        <v>632.27999999999997</v>
      </c>
      <c r="J1000" s="9">
        <v>0.01</v>
      </c>
      <c r="K1000" s="9">
        <v>36.759999999999998</v>
      </c>
      <c r="L1000" s="9" t="s">
        <v>58</v>
      </c>
      <c r="M1000" s="9" t="str">
        <f t="shared" si="0"/>
        <v>20%+</v>
      </c>
    </row>
    <row r="1001">
      <c r="A1001" s="10">
        <v>44960</v>
      </c>
      <c r="B1001" s="9" t="s">
        <v>1075</v>
      </c>
      <c r="C1001" s="9" t="s">
        <v>17</v>
      </c>
      <c r="D1001" s="9" t="s">
        <v>9</v>
      </c>
      <c r="E1001" s="9" t="s">
        <v>20</v>
      </c>
      <c r="F1001" s="9" t="s">
        <v>80</v>
      </c>
      <c r="G1001" s="9">
        <v>139.78</v>
      </c>
      <c r="H1001" s="9">
        <v>9</v>
      </c>
      <c r="I1001" s="9">
        <v>1258.02</v>
      </c>
      <c r="J1001" s="9">
        <v>0.080000000000000002</v>
      </c>
      <c r="K1001" s="9">
        <v>6.5899999999999999</v>
      </c>
      <c r="L1001" s="9" t="s">
        <v>58</v>
      </c>
      <c r="M1001" s="9" t="str">
        <f t="shared" si="0"/>
        <v>0-10%</v>
      </c>
    </row>
    <row r="1002">
      <c r="A1002" s="10">
        <v>45027</v>
      </c>
      <c r="B1002" s="9" t="s">
        <v>1076</v>
      </c>
      <c r="C1002" s="9" t="s">
        <v>15</v>
      </c>
      <c r="D1002" s="9" t="s">
        <v>10</v>
      </c>
      <c r="E1002" s="9" t="s">
        <v>21</v>
      </c>
      <c r="F1002" s="9" t="s">
        <v>76</v>
      </c>
      <c r="G1002" s="9">
        <v>104.31999999999999</v>
      </c>
      <c r="H1002" s="9">
        <v>10</v>
      </c>
      <c r="I1002" s="9">
        <v>1043.2</v>
      </c>
      <c r="J1002" s="9">
        <v>0.080000000000000002</v>
      </c>
      <c r="K1002" s="9">
        <v>158.99000000000001</v>
      </c>
      <c r="L1002" s="9" t="s">
        <v>72</v>
      </c>
      <c r="M1002" s="9" t="str">
        <f t="shared" si="0"/>
        <v>0-10%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Manzur Rahman</cp:lastModifiedBy>
  <dcterms:created xsi:type="dcterms:W3CDTF">2026-04-20T11:21:35Z</dcterms:created>
  <dcterms:modified xsi:type="dcterms:W3CDTF">2026-04-24T17:42:31Z</dcterms:modified>
</cp:coreProperties>
</file>